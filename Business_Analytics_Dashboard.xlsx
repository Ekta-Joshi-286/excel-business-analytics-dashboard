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3.xml" ContentType="application/vnd.openxmlformats-officedocument.drawing+xml"/>
  <Override PartName="/xl/tables/table3.xml" ContentType="application/vnd.openxmlformats-officedocument.spreadsheetml.table+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4.xml" ContentType="application/vnd.openxmlformats-officedocument.drawing+xml"/>
  <Override PartName="/xl/tables/table4.xml" ContentType="application/vnd.openxmlformats-officedocument.spreadsheetml.table+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5.xml" ContentType="application/vnd.openxmlformats-officedocument.drawing+xml"/>
  <Override PartName="/xl/tables/table5.xml" ContentType="application/vnd.openxmlformats-officedocument.spreadsheetml.table+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E:\1 Top Mentor Data Analyst Classes\Assignments\Submitted Assignments\GitHub to be uploaded\Excel Assignment\Batch_130_Assignment3_5_Ekta_Joshi\"/>
    </mc:Choice>
  </mc:AlternateContent>
  <xr:revisionPtr revIDLastSave="0" documentId="13_ncr:1_{067A9D0D-C9D1-4D38-AD86-C7AF12646B42}" xr6:coauthVersionLast="47" xr6:coauthVersionMax="47" xr10:uidLastSave="{00000000-0000-0000-0000-000000000000}"/>
  <bookViews>
    <workbookView xWindow="-108" yWindow="-108" windowWidth="23256" windowHeight="12456" activeTab="4" xr2:uid="{00000000-000D-0000-FFFF-FFFF00000000}"/>
  </bookViews>
  <sheets>
    <sheet name="Sales Analysis" sheetId="1" r:id="rId1"/>
    <sheet name="HR Attrition" sheetId="2" r:id="rId2"/>
    <sheet name="Inventory" sheetId="3" r:id="rId3"/>
    <sheet name="Expense Tracking" sheetId="4" r:id="rId4"/>
    <sheet name="Customer Orders" sheetId="5" r:id="rId5"/>
  </sheets>
  <definedNames>
    <definedName name="NativeTimeline_Date">#N/A</definedName>
    <definedName name="NativeTimeline_Join_Date">#N/A</definedName>
    <definedName name="Slicer_Delivery_Status">#N/A</definedName>
    <definedName name="Slicer_Product">#N/A</definedName>
    <definedName name="Slicer_Product1">#N/A</definedName>
    <definedName name="Slicer_Region">#N/A</definedName>
    <definedName name="Slicer_Warehouse">#N/A</definedName>
  </definedNames>
  <calcPr calcId="191029"/>
  <pivotCaches>
    <pivotCache cacheId="0" r:id="rId6"/>
    <pivotCache cacheId="1" r:id="rId7"/>
    <pivotCache cacheId="2" r:id="rId8"/>
    <pivotCache cacheId="3" r:id="rId9"/>
    <pivotCache cacheId="4"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 r:id="rId17"/>
      </x15:timelineCacheRefs>
    </ext>
  </extLst>
</workbook>
</file>

<file path=xl/calcChain.xml><?xml version="1.0" encoding="utf-8"?>
<calcChain xmlns="http://schemas.openxmlformats.org/spreadsheetml/2006/main">
  <c r="U20" i="2" l="1"/>
  <c r="U21" i="2"/>
  <c r="U22" i="2"/>
  <c r="X6" i="4"/>
  <c r="I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alcChain>
</file>

<file path=xl/sharedStrings.xml><?xml version="1.0" encoding="utf-8"?>
<sst xmlns="http://schemas.openxmlformats.org/spreadsheetml/2006/main" count="839" uniqueCount="268">
  <si>
    <t>Date</t>
  </si>
  <si>
    <t>Region</t>
  </si>
  <si>
    <t>Salesperson</t>
  </si>
  <si>
    <t>Product</t>
  </si>
  <si>
    <t>Units Sold</t>
  </si>
  <si>
    <t>Unit Price</t>
  </si>
  <si>
    <t>Revenue</t>
  </si>
  <si>
    <t>Profit</t>
  </si>
  <si>
    <t>West</t>
  </si>
  <si>
    <t>Bob</t>
  </si>
  <si>
    <t>Tablet</t>
  </si>
  <si>
    <t>Alice</t>
  </si>
  <si>
    <t>South</t>
  </si>
  <si>
    <t>Eva</t>
  </si>
  <si>
    <t>Phone</t>
  </si>
  <si>
    <t>North</t>
  </si>
  <si>
    <t>David</t>
  </si>
  <si>
    <t>Keyboard</t>
  </si>
  <si>
    <t>Laptop</t>
  </si>
  <si>
    <t>East</t>
  </si>
  <si>
    <t>Charlie</t>
  </si>
  <si>
    <t>Monitor</t>
  </si>
  <si>
    <t>Employee ID</t>
  </si>
  <si>
    <t>Department</t>
  </si>
  <si>
    <t>Gender</t>
  </si>
  <si>
    <t>Age</t>
  </si>
  <si>
    <t>Join Date</t>
  </si>
  <si>
    <t>Exit Date</t>
  </si>
  <si>
    <t>Status</t>
  </si>
  <si>
    <t>Salary</t>
  </si>
  <si>
    <t>E1000</t>
  </si>
  <si>
    <t>HR</t>
  </si>
  <si>
    <t>Female</t>
  </si>
  <si>
    <t>Resigned</t>
  </si>
  <si>
    <t>E1001</t>
  </si>
  <si>
    <t>IT</t>
  </si>
  <si>
    <t>E1002</t>
  </si>
  <si>
    <t>Male</t>
  </si>
  <si>
    <t>Active</t>
  </si>
  <si>
    <t>E1003</t>
  </si>
  <si>
    <t>E1004</t>
  </si>
  <si>
    <t>E1005</t>
  </si>
  <si>
    <t>E1006</t>
  </si>
  <si>
    <t>Finance</t>
  </si>
  <si>
    <t>E1007</t>
  </si>
  <si>
    <t>E1008</t>
  </si>
  <si>
    <t>Sales</t>
  </si>
  <si>
    <t>E1009</t>
  </si>
  <si>
    <t>E1010</t>
  </si>
  <si>
    <t>Support</t>
  </si>
  <si>
    <t>E1011</t>
  </si>
  <si>
    <t>E1012</t>
  </si>
  <si>
    <t>E1013</t>
  </si>
  <si>
    <t>E1014</t>
  </si>
  <si>
    <t>E1015</t>
  </si>
  <si>
    <t>E1016</t>
  </si>
  <si>
    <t>E1017</t>
  </si>
  <si>
    <t>E1018</t>
  </si>
  <si>
    <t>E1019</t>
  </si>
  <si>
    <t>E1020</t>
  </si>
  <si>
    <t>E1021</t>
  </si>
  <si>
    <t>E1022</t>
  </si>
  <si>
    <t>E1023</t>
  </si>
  <si>
    <t>E1024</t>
  </si>
  <si>
    <t>E1025</t>
  </si>
  <si>
    <t>E1026</t>
  </si>
  <si>
    <t>E1027</t>
  </si>
  <si>
    <t>E1028</t>
  </si>
  <si>
    <t>E1029</t>
  </si>
  <si>
    <t>Product ID</t>
  </si>
  <si>
    <t>Product Category</t>
  </si>
  <si>
    <t>Warehouse</t>
  </si>
  <si>
    <t>Opening Stock</t>
  </si>
  <si>
    <t>Quantity Sold</t>
  </si>
  <si>
    <t>Quantity Purchased</t>
  </si>
  <si>
    <t>Closing Stock</t>
  </si>
  <si>
    <t>P100</t>
  </si>
  <si>
    <t>Electronics</t>
  </si>
  <si>
    <t>W1</t>
  </si>
  <si>
    <t>P101</t>
  </si>
  <si>
    <t>Furniture</t>
  </si>
  <si>
    <t>W2</t>
  </si>
  <si>
    <t>P102</t>
  </si>
  <si>
    <t>P103</t>
  </si>
  <si>
    <t>W3</t>
  </si>
  <si>
    <t>P104</t>
  </si>
  <si>
    <t>Stationery</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</si>
  <si>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</si>
  <si>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</si>
  <si>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</si>
  <si>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</si>
  <si>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</si>
  <si>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</si>
  <si>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</si>
  <si>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</si>
  <si>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</si>
  <si>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</si>
  <si>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</si>
  <si>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</si>
  <si>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</si>
  <si>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</si>
  <si>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</si>
  <si>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</si>
  <si>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</si>
  <si>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</si>
  <si>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</si>
  <si>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</si>
  <si>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</si>
  <si>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P126</t>
  </si>
  <si>
    <t>P127</t>
  </si>
  <si>
    <t>P128</t>
  </si>
  <si>
    <t>P129</t>
  </si>
  <si>
    <t>Expense Category</t>
  </si>
  <si>
    <t>Expense Amount</t>
  </si>
  <si>
    <t>Budget</t>
  </si>
  <si>
    <t>Project Name</t>
  </si>
  <si>
    <t>Consulting</t>
  </si>
  <si>
    <t>Delta</t>
  </si>
  <si>
    <t>Admin</t>
  </si>
  <si>
    <t>Travel</t>
  </si>
  <si>
    <t>Alpha</t>
  </si>
  <si>
    <t>Operations</t>
  </si>
  <si>
    <t>Supplies</t>
  </si>
  <si>
    <t>Gamma</t>
  </si>
  <si>
    <t>Software</t>
  </si>
  <si>
    <t>Beta</t>
  </si>
  <si>
    <t>Marketing</t>
  </si>
  <si>
    <t>Order ID</t>
  </si>
  <si>
    <t>Customer Name</t>
  </si>
  <si>
    <t>Order Date</t>
  </si>
  <si>
    <t>Delivery Date</t>
  </si>
  <si>
    <t>Order Value</t>
  </si>
  <si>
    <t>Delivery Status</t>
  </si>
  <si>
    <t>Delivery Duration (Days)</t>
  </si>
  <si>
    <t>O1000</t>
  </si>
  <si>
    <t>Adani</t>
  </si>
  <si>
    <t>Switch</t>
  </si>
  <si>
    <t>On Time</t>
  </si>
  <si>
    <t>O1001</t>
  </si>
  <si>
    <t>Access Point</t>
  </si>
  <si>
    <t>O1002</t>
  </si>
  <si>
    <t>Tata</t>
  </si>
  <si>
    <t>O1003</t>
  </si>
  <si>
    <t>HUL</t>
  </si>
  <si>
    <t>Router</t>
  </si>
  <si>
    <t>O1004</t>
  </si>
  <si>
    <t>Delayed</t>
  </si>
  <si>
    <t>O1005</t>
  </si>
  <si>
    <t>Reliance</t>
  </si>
  <si>
    <t>Modem</t>
  </si>
  <si>
    <t>O1006</t>
  </si>
  <si>
    <t>O1007</t>
  </si>
  <si>
    <t>O1008</t>
  </si>
  <si>
    <t>O1009</t>
  </si>
  <si>
    <t>O1010</t>
  </si>
  <si>
    <t>O1011</t>
  </si>
  <si>
    <t>O1012</t>
  </si>
  <si>
    <t>O1013</t>
  </si>
  <si>
    <t>O1014</t>
  </si>
  <si>
    <t>Flipkart</t>
  </si>
  <si>
    <t>O1015</t>
  </si>
  <si>
    <t>O1016</t>
  </si>
  <si>
    <t>O1017</t>
  </si>
  <si>
    <t>O1018</t>
  </si>
  <si>
    <t>O1019</t>
  </si>
  <si>
    <t>O1020</t>
  </si>
  <si>
    <t>O1021</t>
  </si>
  <si>
    <t>O1022</t>
  </si>
  <si>
    <t>O1023</t>
  </si>
  <si>
    <t>O1024</t>
  </si>
  <si>
    <t>O1025</t>
  </si>
  <si>
    <t>O1026</t>
  </si>
  <si>
    <t>O1027</t>
  </si>
  <si>
    <t>O1028</t>
  </si>
  <si>
    <t>O1029</t>
  </si>
  <si>
    <t>Sum of Revenue</t>
  </si>
  <si>
    <t>Column Labels</t>
  </si>
  <si>
    <t>Grand Total</t>
  </si>
  <si>
    <t>Row Labels</t>
  </si>
  <si>
    <t>Jan</t>
  </si>
  <si>
    <t>Feb</t>
  </si>
  <si>
    <t>Mar</t>
  </si>
  <si>
    <t>Apr</t>
  </si>
  <si>
    <t>May</t>
  </si>
  <si>
    <t>Jun</t>
  </si>
  <si>
    <t>Jul</t>
  </si>
  <si>
    <t>Aug</t>
  </si>
  <si>
    <t>Sep</t>
  </si>
  <si>
    <t>Oct</t>
  </si>
  <si>
    <t>Nov</t>
  </si>
  <si>
    <t>Dec</t>
  </si>
  <si>
    <t>Count of Employee ID</t>
  </si>
  <si>
    <t/>
  </si>
  <si>
    <t>Average of Age</t>
  </si>
  <si>
    <t>Average of Salary</t>
  </si>
  <si>
    <t>2021</t>
  </si>
  <si>
    <t>2022</t>
  </si>
  <si>
    <t>2023</t>
  </si>
  <si>
    <t>2024</t>
  </si>
  <si>
    <t>2025</t>
  </si>
  <si>
    <t>2026</t>
  </si>
  <si>
    <t>Head Count</t>
  </si>
  <si>
    <t>Average Age</t>
  </si>
  <si>
    <t>Average Salary</t>
  </si>
  <si>
    <t>Sum of Quantity Purchased</t>
  </si>
  <si>
    <t>Sum of Quantity Sold</t>
  </si>
  <si>
    <t>Sum of Closing Stock</t>
  </si>
  <si>
    <t>Year</t>
  </si>
  <si>
    <t>Count of Employee</t>
  </si>
  <si>
    <t>Net Movement</t>
  </si>
  <si>
    <t>11-01-2023 - 17-01-2023</t>
  </si>
  <si>
    <t>18-01-2023 - 24-01-2023</t>
  </si>
  <si>
    <t>15-02-2023 - 21-02-2023</t>
  </si>
  <si>
    <t>22-02-2023 - 28-02-2023</t>
  </si>
  <si>
    <t>01-03-2023 - 07-03-2023</t>
  </si>
  <si>
    <t>15-03-2023 - 21-03-2023</t>
  </si>
  <si>
    <t>05-04-2023 - 11-04-2023</t>
  </si>
  <si>
    <t>19-04-2023 - 25-04-2023</t>
  </si>
  <si>
    <t>03-05-2023 - 09-05-2023</t>
  </si>
  <si>
    <t>14-06-2023 - 20-06-2023</t>
  </si>
  <si>
    <t>21-06-2023 - 27-06-2023</t>
  </si>
  <si>
    <t>12-07-2023 - 18-07-2023</t>
  </si>
  <si>
    <t>09-08-2023 - 15-08-2023</t>
  </si>
  <si>
    <t>16-08-2023 - 22-08-2023</t>
  </si>
  <si>
    <t>23-08-2023 - 29-08-2023</t>
  </si>
  <si>
    <t>20-09-2023 - 26-09-2023</t>
  </si>
  <si>
    <t>11-10-2023 - 17-10-2023</t>
  </si>
  <si>
    <t>25-10-2023 - 31-10-2023</t>
  </si>
  <si>
    <t>15-11-2023 - 21-11-2023</t>
  </si>
  <si>
    <t>29-11-2023 - 05-12-2023</t>
  </si>
  <si>
    <t>06-12-2023 - 12-12-2023</t>
  </si>
  <si>
    <t>13-12-2023 - 19-12-2023</t>
  </si>
  <si>
    <t>20-12-2023 - 26-12-2023</t>
  </si>
  <si>
    <t>Sum of Expense Amount</t>
  </si>
  <si>
    <t>Sum of Budget</t>
  </si>
  <si>
    <t>Sum of % Budget Used</t>
  </si>
  <si>
    <t>Sum of Net movement</t>
  </si>
  <si>
    <t>Weekly Products</t>
  </si>
  <si>
    <t>Monthly Expense Trend</t>
  </si>
  <si>
    <t>Budget vs Expense by Department</t>
  </si>
  <si>
    <t>% Budget Used by Category</t>
  </si>
  <si>
    <t>Project-wise expense breakdown</t>
  </si>
  <si>
    <t xml:space="preserve">Dashboard </t>
  </si>
  <si>
    <t>Total Budget</t>
  </si>
  <si>
    <t>Total Expense</t>
  </si>
  <si>
    <t>Overrun %</t>
  </si>
  <si>
    <t>KPI cards</t>
  </si>
  <si>
    <t>Count of Order ID</t>
  </si>
  <si>
    <t>Orders by Customer and Status</t>
  </si>
  <si>
    <t>Average Delivery Duration by Product</t>
  </si>
  <si>
    <t>Sum of Delivery Duration (Days)</t>
  </si>
  <si>
    <t>Monthly Order Count and Value</t>
  </si>
  <si>
    <t>Sum of Order Value</t>
  </si>
  <si>
    <t>Delay Count by Customer</t>
  </si>
  <si>
    <t>Customer</t>
  </si>
  <si>
    <t>Total Stock Movement</t>
  </si>
  <si>
    <t>Closing Stock by Category</t>
  </si>
  <si>
    <t>Active employees by Department</t>
  </si>
  <si>
    <t>Attrition count by Department and Gender</t>
  </si>
  <si>
    <t>Average Age and Salary by Department</t>
  </si>
  <si>
    <t>Year-wise attrition</t>
  </si>
  <si>
    <t>Total Revenue by Region</t>
  </si>
  <si>
    <t>Revenue and Profit by Salesperson</t>
  </si>
  <si>
    <t>Monthly sales trend</t>
  </si>
  <si>
    <t>Top 5 Products by Revenue</t>
  </si>
  <si>
    <t>Months</t>
  </si>
  <si>
    <t>Products</t>
  </si>
  <si>
    <t xml:space="preserve">Weekly Movement Trends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</si>
</sst>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name val="Calibri"/>
    </font>
    <font>
      <b/>
      <sz val="11"/>
      <color theme="1"/>
      <name val="Calibri"/>
      <family val="2"/>
      <scheme val="minor"/>
    </font>
    <font>
      <b/>
      <sz val="11"/>
      <name val="Calibri"/>
      <family val="2"/>
    </font>
    <font>
      <b/>
      <sz val="12"/>
      <color theme="1"/>
      <name val="Calibri"/>
      <family val="2"/>
      <scheme val="minor"/>
    </font>
    <font>
      <b/>
      <sz val="14"/>
      <color theme="1"/>
      <name val="Calibri"/>
      <family val="2"/>
      <scheme val="minor"/>
    </font>
    <font>
      <b/>
      <sz val="18"/>
      <color theme="1"/>
      <name val="Calibri"/>
      <family val="2"/>
      <scheme val="minor"/>
    </font>
    <font>
      <sz val="12"/>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4" tint="0.79998168889431442"/>
        <bgColor theme="4" tint="0.79998168889431442"/>
      </patternFill>
    </fill>
    <fill>
      <patternFill patternType="solid">
        <fgColor theme="2" tint="-0.249977111117893"/>
        <bgColor indexed="64"/>
      </patternFill>
    </fill>
    <fill>
      <patternFill patternType="solid">
        <fgColor theme="0"/>
        <bgColor indexed="64"/>
      </patternFill>
    </fill>
  </fills>
  <borders count="9">
    <border>
      <left/>
      <right/>
      <top/>
      <bottom/>
      <diagonal/>
    </border>
    <border>
      <left style="thin">
        <color auto="1"/>
      </left>
      <right style="thin">
        <color auto="1"/>
      </right>
      <top/>
      <bottom style="thin">
        <color auto="1"/>
      </bottom>
      <diagonal/>
    </border>
    <border>
      <left/>
      <right/>
      <top style="thin">
        <color auto="1"/>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style="thin">
        <color theme="4" tint="0.39997558519241921"/>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25">
    <xf numFmtId="0" fontId="0" fillId="0" borderId="0" xfId="0"/>
    <xf numFmtId="14"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1" fontId="0" fillId="0" borderId="0" xfId="0" applyNumberFormat="1"/>
    <xf numFmtId="10" fontId="0" fillId="0" borderId="0" xfId="0" applyNumberFormat="1"/>
    <xf numFmtId="0" fontId="1" fillId="0" borderId="0" xfId="0" applyFont="1" applyAlignment="1">
      <alignment horizontal="center" vertical="top"/>
    </xf>
    <xf numFmtId="0" fontId="2" fillId="2" borderId="0" xfId="0" applyFont="1" applyFill="1"/>
    <xf numFmtId="0" fontId="0" fillId="2" borderId="0" xfId="0" applyFill="1"/>
    <xf numFmtId="0" fontId="6" fillId="6" borderId="0" xfId="0" applyFont="1" applyFill="1"/>
    <xf numFmtId="0" fontId="3" fillId="0" borderId="1" xfId="0" applyFont="1" applyBorder="1" applyAlignment="1">
      <alignment horizontal="center" vertical="top"/>
    </xf>
    <xf numFmtId="0" fontId="4" fillId="2" borderId="0" xfId="0" applyFont="1" applyFill="1"/>
    <xf numFmtId="0" fontId="5" fillId="2" borderId="0" xfId="0" applyFont="1" applyFill="1"/>
    <xf numFmtId="0" fontId="0" fillId="6" borderId="0" xfId="0" applyFill="1"/>
    <xf numFmtId="0" fontId="0" fillId="0" borderId="5" xfId="0" applyBorder="1"/>
    <xf numFmtId="0" fontId="2" fillId="4" borderId="6" xfId="0" applyFont="1" applyFill="1" applyBorder="1"/>
    <xf numFmtId="0" fontId="0" fillId="0" borderId="7" xfId="0" applyBorder="1"/>
    <xf numFmtId="10" fontId="0" fillId="0" borderId="8" xfId="0" applyNumberFormat="1" applyBorder="1"/>
    <xf numFmtId="0" fontId="7" fillId="2" borderId="0" xfId="0" applyFont="1" applyFill="1"/>
    <xf numFmtId="0" fontId="6" fillId="3" borderId="0" xfId="0" applyFont="1" applyFill="1" applyAlignment="1">
      <alignment horizontal="center" vertical="center"/>
    </xf>
    <xf numFmtId="0" fontId="6" fillId="5" borderId="2" xfId="0" applyFont="1" applyFill="1" applyBorder="1" applyAlignment="1">
      <alignment horizontal="center"/>
    </xf>
    <xf numFmtId="0" fontId="6" fillId="5" borderId="4" xfId="0" applyFont="1" applyFill="1" applyBorder="1" applyAlignment="1">
      <alignment horizontal="center"/>
    </xf>
    <xf numFmtId="0" fontId="6" fillId="5" borderId="3" xfId="0" applyFont="1" applyFill="1" applyBorder="1" applyAlignment="1">
      <alignment horizontal="center"/>
    </xf>
    <xf numFmtId="0" fontId="0" fillId="0" borderId="0" xfId="0" applyNumberFormat="1"/>
  </cellXfs>
  <cellStyles count="1">
    <cellStyle name="Normal" xfId="0" builtinId="0"/>
  </cellStyles>
  <dxfs count="34">
    <dxf>
      <fill>
        <patternFill>
          <bgColor theme="5"/>
        </patternFill>
      </fill>
    </dxf>
    <dxf>
      <fill>
        <patternFill>
          <bgColor theme="5"/>
        </patternFill>
      </fill>
    </dxf>
    <dxf>
      <numFmt numFmtId="2" formatCode="0.00"/>
    </dxf>
    <dxf>
      <numFmt numFmtId="14" formatCode="0.00%"/>
    </dxf>
    <dxf>
      <numFmt numFmtId="19" formatCode="dd/mm/yyyy"/>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4" formatCode="0.00%"/>
    </dxf>
    <dxf>
      <numFmt numFmtId="2" formatCode="0.00"/>
    </dxf>
    <dxf>
      <numFmt numFmtId="14" formatCode="0.00%"/>
    </dxf>
    <dxf>
      <numFmt numFmtId="2" formatCode="0.00"/>
    </dxf>
    <dxf>
      <numFmt numFmtId="0" formatCode="General"/>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9" formatCode="dd/mm/yyyy"/>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 formatCode="0"/>
    </dxf>
    <dxf>
      <numFmt numFmtId="1" formatCode="0"/>
    </dxf>
    <dxf>
      <numFmt numFmtId="1" formatCode="0"/>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2.xml"/><Relationship Id="rId12" Type="http://schemas.microsoft.com/office/2007/relationships/slicerCache" Target="slicerCaches/slicerCache2.xml"/><Relationship Id="rId17" Type="http://schemas.microsoft.com/office/2011/relationships/timelineCache" Target="timelineCaches/timelineCache2.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5.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[pivot_tables_dashboards.xlsx]Sales Analysis!PivotTable3</c:name>
    <c:fmtId val="9"/>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Monthly Revenue Trend</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Analysis'!$L$13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Analysis'!$K$14:$K$26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Analysis'!$L$14:$L$26</c:f>
              <c:numCache>
                <c:formatCode>General</c:formatCode>
                <c:ptCount val="12"/>
                <c:pt idx="0">
                  <c:v>12630</c:v>
                </c:pt>
                <c:pt idx="1">
                  <c:v>32151</c:v>
                </c:pt>
                <c:pt idx="2">
                  <c:v>24273</c:v>
                </c:pt>
                <c:pt idx="3">
                  <c:v>36244</c:v>
                </c:pt>
                <c:pt idx="4">
                  <c:v>2180</c:v>
                </c:pt>
                <c:pt idx="5">
                  <c:v>3780</c:v>
                </c:pt>
                <c:pt idx="6">
                  <c:v>16470</c:v>
                </c:pt>
                <c:pt idx="7">
                  <c:v>18614</c:v>
                </c:pt>
                <c:pt idx="8">
                  <c:v>24674</c:v>
                </c:pt>
                <c:pt idx="9">
                  <c:v>2670</c:v>
                </c:pt>
                <c:pt idx="10">
                  <c:v>27740</c:v>
                </c:pt>
                <c:pt idx="11">
                  <c:v>20412</c:v>
                </c:pt>
              </c:numCache>
            </c:numRef>
          </c:val>
          <c:smooth val="0"/>
          <c:extLst>
            <c:ext xmlns:c16="http://schemas.microsoft.com/office/drawing/2014/chart" uri="{C3380CC4-5D6E-409C-BE32-E72D297353CC}">
              <c16:uniqueId val="{00000000-CE58-40A7-A0ED-239A6DECC6D0}"/>
            </c:ext>
          </c:extLst>
        </c:ser>
        <c:dLbls>
          <c:dLblPos val="t"/>
          <c:showLegendKey val="0"/>
          <c:showVal val="1"/>
          <c:showCatName val="0"/>
          <c:showSerName val="0"/>
          <c:showPercent val="0"/>
          <c:showBubbleSize val="0"/>
        </c:dLbls>
        <c:smooth val="0"/>
        <c:axId val="826227663"/>
        <c:axId val="826222863"/>
      </c:lineChart>
      <c:catAx>
        <c:axId val="8262276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222863"/>
        <c:crosses val="autoZero"/>
        <c:auto val="1"/>
        <c:lblAlgn val="ctr"/>
        <c:lblOffset val="100"/>
        <c:noMultiLvlLbl val="0"/>
      </c:catAx>
      <c:valAx>
        <c:axId val="826222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227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[pivot_tables_dashboards.xlsx]Sales Analysis!PivotTable1</c:name>
    <c:fmtId val="8"/>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Revenue by Region</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Analysis'!$L$3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Analysis'!$K$4:$K$8</c:f>
              <c:strCache>
                <c:ptCount val="4"/>
                <c:pt idx="0">
                  <c:v>East</c:v>
                </c:pt>
                <c:pt idx="1">
                  <c:v>North</c:v>
                </c:pt>
                <c:pt idx="2">
                  <c:v>South</c:v>
                </c:pt>
                <c:pt idx="3">
                  <c:v>West</c:v>
                </c:pt>
              </c:strCache>
            </c:strRef>
          </c:cat>
          <c:val>
            <c:numRef>
              <c:f>'Sales Analysis'!$L$4:$L$8</c:f>
              <c:numCache>
                <c:formatCode>General</c:formatCode>
                <c:ptCount val="4"/>
                <c:pt idx="0">
                  <c:v>45230</c:v>
                </c:pt>
                <c:pt idx="1">
                  <c:v>55780</c:v>
                </c:pt>
                <c:pt idx="2">
                  <c:v>90109</c:v>
                </c:pt>
                <c:pt idx="3">
                  <c:v>30719</c:v>
                </c:pt>
              </c:numCache>
            </c:numRef>
          </c:val>
          <c:extLst>
            <c:ext xmlns:c16="http://schemas.microsoft.com/office/drawing/2014/chart" uri="{C3380CC4-5D6E-409C-BE32-E72D297353CC}">
              <c16:uniqueId val="{00000000-1BC8-46E0-8667-231C2AF26FB3}"/>
            </c:ext>
          </c:extLst>
        </c:ser>
        <c:dLbls>
          <c:dLblPos val="outEnd"/>
          <c:showLegendKey val="0"/>
          <c:showVal val="1"/>
          <c:showCatName val="0"/>
          <c:showSerName val="0"/>
          <c:showPercent val="0"/>
          <c:showBubbleSize val="0"/>
        </c:dLbls>
        <c:gapWidth val="182"/>
        <c:axId val="683220479"/>
        <c:axId val="683222879"/>
      </c:barChart>
      <c:catAx>
        <c:axId val="683220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222879"/>
        <c:crosses val="autoZero"/>
        <c:auto val="1"/>
        <c:lblAlgn val="ctr"/>
        <c:lblOffset val="100"/>
        <c:noMultiLvlLbl val="0"/>
      </c:catAx>
      <c:valAx>
        <c:axId val="6832228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220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[pivot_tables_dashboards.xlsx]HR Attrition!PivotTable6</c:name>
    <c:fmtId val="2"/>
  </c:pivotSource>
  <c:chart>
    <c:title>
      <c:tx>
        <c:rich>
          <a:bodyPr rot="0" spcFirstLastPara="1" vertOverflow="ellipsis" vert="horz" wrap="square" anchor="ctr" anchorCtr="1"/>
          <a:lstStyle/>
          <a:p>
            <a:pPr>
              <a:defRPr sz="1600" b="0" i="0" u="none" strike="noStrike" kern="1200" cap="none" spc="20" baseline="0">
                <a:solidFill>
                  <a:schemeClr val="tx1">
                    <a:lumMod val="50000"/>
                    <a:lumOff val="50000"/>
                  </a:schemeClr>
                </a:solidFill>
                <a:latin typeface="+mn-lt"/>
                <a:ea typeface="+mn-ea"/>
                <a:cs typeface="+mn-cs"/>
              </a:defRPr>
            </a:pPr>
            <a:r>
              <a:rPr lang="en-IN" sz="1600"/>
              <a:t>Attrition count by Department and Gender</a:t>
            </a:r>
          </a:p>
        </c:rich>
      </c:tx>
      <c:overlay val="0"/>
      <c:spPr>
        <a:noFill/>
        <a:ln>
          <a:noFill/>
        </a:ln>
        <a:effectLst/>
      </c:spPr>
      <c:txPr>
        <a:bodyPr rot="0" spcFirstLastPara="1" vertOverflow="ellipsis" vert="horz" wrap="square" anchor="ctr" anchorCtr="1"/>
        <a:lstStyle/>
        <a:p>
          <a:pPr>
            <a:defRPr sz="16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7"/>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8"/>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9"/>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1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1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s>
    <c:plotArea>
      <c:layout/>
      <c:doughnutChart>
        <c:varyColors val="1"/>
        <c:ser>
          <c:idx val="0"/>
          <c:order val="0"/>
          <c:tx>
            <c:strRef>
              <c:f>'HR Attrition'!$L$11:$L$12</c:f>
              <c:strCache>
                <c:ptCount val="1"/>
                <c:pt idx="0">
                  <c:v>Female</c:v>
                </c:pt>
              </c:strCache>
            </c:strRef>
          </c:tx>
          <c:dPt>
            <c:idx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1-385A-47AC-B115-F6ED9996DC1A}"/>
              </c:ext>
            </c:extLst>
          </c:dPt>
          <c:dPt>
            <c:idx val="1"/>
            <c:bubble3D val="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3-385A-47AC-B115-F6ED9996DC1A}"/>
              </c:ext>
            </c:extLst>
          </c:dPt>
          <c:dPt>
            <c:idx val="2"/>
            <c:bubble3D val="0"/>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5-385A-47AC-B115-F6ED9996DC1A}"/>
              </c:ext>
            </c:extLst>
          </c:dPt>
          <c:dPt>
            <c:idx val="3"/>
            <c:bubble3D val="0"/>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7-385A-47AC-B115-F6ED9996DC1A}"/>
              </c:ext>
            </c:extLst>
          </c:dPt>
          <c:dPt>
            <c:idx val="4"/>
            <c:bubble3D val="0"/>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9-385A-47AC-B115-F6ED9996DC1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'HR Attrition'!$K$13:$K$18</c:f>
              <c:strCache>
                <c:ptCount val="5"/>
                <c:pt idx="0">
                  <c:v>Finance</c:v>
                </c:pt>
                <c:pt idx="1">
                  <c:v>HR</c:v>
                </c:pt>
                <c:pt idx="2">
                  <c:v>IT</c:v>
                </c:pt>
                <c:pt idx="3">
                  <c:v>Sales</c:v>
                </c:pt>
                <c:pt idx="4">
                  <c:v>Support</c:v>
                </c:pt>
              </c:strCache>
            </c:strRef>
          </c:cat>
          <c:val>
            <c:numRef>
              <c:f>'HR Attrition'!$L$13:$L$18</c:f>
              <c:numCache>
                <c:formatCode>General</c:formatCode>
                <c:ptCount val="5"/>
                <c:pt idx="0">
                  <c:v>2</c:v>
                </c:pt>
                <c:pt idx="1">
                  <c:v>2</c:v>
                </c:pt>
                <c:pt idx="2">
                  <c:v>3</c:v>
                </c:pt>
                <c:pt idx="3">
                  <c:v>2</c:v>
                </c:pt>
                <c:pt idx="4">
                  <c:v>4</c:v>
                </c:pt>
              </c:numCache>
            </c:numRef>
          </c:val>
          <c:extLst>
            <c:ext xmlns:c16="http://schemas.microsoft.com/office/drawing/2014/chart" uri="{C3380CC4-5D6E-409C-BE32-E72D297353CC}">
              <c16:uniqueId val="{00000000-AEE5-42D8-BA53-F500D3954326}"/>
            </c:ext>
          </c:extLst>
        </c:ser>
        <c:ser>
          <c:idx val="1"/>
          <c:order val="1"/>
          <c:tx>
            <c:strRef>
              <c:f>'HR Attrition'!$M$11:$M$12</c:f>
              <c:strCache>
                <c:ptCount val="1"/>
                <c:pt idx="0">
                  <c:v>Male</c:v>
                </c:pt>
              </c:strCache>
            </c:strRef>
          </c:tx>
          <c:dPt>
            <c:idx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B-385A-47AC-B115-F6ED9996DC1A}"/>
              </c:ext>
            </c:extLst>
          </c:dPt>
          <c:dPt>
            <c:idx val="1"/>
            <c:bubble3D val="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D-385A-47AC-B115-F6ED9996DC1A}"/>
              </c:ext>
            </c:extLst>
          </c:dPt>
          <c:dPt>
            <c:idx val="2"/>
            <c:bubble3D val="0"/>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F-385A-47AC-B115-F6ED9996DC1A}"/>
              </c:ext>
            </c:extLst>
          </c:dPt>
          <c:dPt>
            <c:idx val="3"/>
            <c:bubble3D val="0"/>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11-385A-47AC-B115-F6ED9996DC1A}"/>
              </c:ext>
            </c:extLst>
          </c:dPt>
          <c:dPt>
            <c:idx val="4"/>
            <c:bubble3D val="0"/>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13-385A-47AC-B115-F6ED9996DC1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'HR Attrition'!$K$13:$K$18</c:f>
              <c:strCache>
                <c:ptCount val="5"/>
                <c:pt idx="0">
                  <c:v>Finance</c:v>
                </c:pt>
                <c:pt idx="1">
                  <c:v>HR</c:v>
                </c:pt>
                <c:pt idx="2">
                  <c:v>IT</c:v>
                </c:pt>
                <c:pt idx="3">
                  <c:v>Sales</c:v>
                </c:pt>
                <c:pt idx="4">
                  <c:v>Support</c:v>
                </c:pt>
              </c:strCache>
            </c:strRef>
          </c:cat>
          <c:val>
            <c:numRef>
              <c:f>'HR Attrition'!$M$13:$M$18</c:f>
              <c:numCache>
                <c:formatCode>General</c:formatCode>
                <c:ptCount val="5"/>
                <c:pt idx="0">
                  <c:v>6</c:v>
                </c:pt>
                <c:pt idx="1">
                  <c:v>2</c:v>
                </c:pt>
                <c:pt idx="2">
                  <c:v>4</c:v>
                </c:pt>
                <c:pt idx="3">
                  <c:v>3</c:v>
                </c:pt>
                <c:pt idx="4">
                  <c:v>2</c:v>
                </c:pt>
              </c:numCache>
            </c:numRef>
          </c:val>
          <c:extLst>
            <c:ext xmlns:c16="http://schemas.microsoft.com/office/drawing/2014/chart" uri="{C3380CC4-5D6E-409C-BE32-E72D297353CC}">
              <c16:uniqueId val="{00000003-AEE5-42D8-BA53-F500D395432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[pivot_tables_dashboards.xlsx]HR Attrition!PivotTable8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a:t>Year-wise attrition</a:t>
            </a:r>
          </a:p>
        </c:rich>
      </c:tx>
      <c:layout>
        <c:manualLayout>
          <c:xMode val="edge"/>
          <c:yMode val="edge"/>
          <c:x val="0.38877717541178797"/>
          <c:y val="6.9540726013899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'HR Attrition'!$L$23:$L$24</c:f>
              <c:strCache>
                <c:ptCount val="1"/>
                <c:pt idx="0">
                  <c:v>Finance</c:v>
                </c:pt>
              </c:strCache>
            </c:strRef>
          </c:tx>
          <c:spPr>
            <a:solidFill>
              <a:schemeClr val="accent1"/>
            </a:solidFill>
            <a:ln>
              <a:noFill/>
            </a:ln>
            <a:effectLst/>
          </c:spPr>
          <c:invertIfNegative val="0"/>
          <c:cat>
            <c:strRef>
              <c:f>'HR Attrition'!$K$25:$K$31</c:f>
              <c:strCache>
                <c:ptCount val="6"/>
                <c:pt idx="0">
                  <c:v>2021</c:v>
                </c:pt>
                <c:pt idx="1">
                  <c:v>2022</c:v>
                </c:pt>
                <c:pt idx="2">
                  <c:v>2023</c:v>
                </c:pt>
                <c:pt idx="3">
                  <c:v>2024</c:v>
                </c:pt>
                <c:pt idx="4">
                  <c:v>2025</c:v>
                </c:pt>
                <c:pt idx="5">
                  <c:v>2026</c:v>
                </c:pt>
              </c:strCache>
            </c:strRef>
          </c:cat>
          <c:val>
            <c:numRef>
              <c:f>'HR Attrition'!$L$25:$L$31</c:f>
              <c:numCache>
                <c:formatCode>General</c:formatCode>
                <c:ptCount val="6"/>
                <c:pt idx="0">
                  <c:v>2</c:v>
                </c:pt>
                <c:pt idx="2">
                  <c:v>1</c:v>
                </c:pt>
                <c:pt idx="3">
                  <c:v>2</c:v>
                </c:pt>
                <c:pt idx="4">
                  <c:v>2</c:v>
                </c:pt>
                <c:pt idx="5">
                  <c:v>1</c:v>
                </c:pt>
              </c:numCache>
            </c:numRef>
          </c:val>
          <c:extLst>
            <c:ext xmlns:c16="http://schemas.microsoft.com/office/drawing/2014/chart" uri="{C3380CC4-5D6E-409C-BE32-E72D297353CC}">
              <c16:uniqueId val="{00000000-9B5C-4E6E-A7C3-337763D09DB1}"/>
            </c:ext>
          </c:extLst>
        </c:ser>
        <c:ser>
          <c:idx val="1"/>
          <c:order val="1"/>
          <c:tx>
            <c:strRef>
              <c:f>'HR Attrition'!$M$23:$M$24</c:f>
              <c:strCache>
                <c:ptCount val="1"/>
                <c:pt idx="0">
                  <c:v>HR</c:v>
                </c:pt>
              </c:strCache>
            </c:strRef>
          </c:tx>
          <c:spPr>
            <a:solidFill>
              <a:schemeClr val="accent2"/>
            </a:solidFill>
            <a:ln>
              <a:noFill/>
            </a:ln>
            <a:effectLst/>
          </c:spPr>
          <c:invertIfNegative val="0"/>
          <c:cat>
            <c:strRef>
              <c:f>'HR Attrition'!$K$25:$K$31</c:f>
              <c:strCache>
                <c:ptCount val="6"/>
                <c:pt idx="0">
                  <c:v>2021</c:v>
                </c:pt>
                <c:pt idx="1">
                  <c:v>2022</c:v>
                </c:pt>
                <c:pt idx="2">
                  <c:v>2023</c:v>
                </c:pt>
                <c:pt idx="3">
                  <c:v>2024</c:v>
                </c:pt>
                <c:pt idx="4">
                  <c:v>2025</c:v>
                </c:pt>
                <c:pt idx="5">
                  <c:v>2026</c:v>
                </c:pt>
              </c:strCache>
            </c:strRef>
          </c:cat>
          <c:val>
            <c:numRef>
              <c:f>'HR Attrition'!$M$25:$M$31</c:f>
              <c:numCache>
                <c:formatCode>General</c:formatCode>
                <c:ptCount val="6"/>
                <c:pt idx="2">
                  <c:v>1</c:v>
                </c:pt>
                <c:pt idx="3">
                  <c:v>1</c:v>
                </c:pt>
              </c:numCache>
            </c:numRef>
          </c:val>
          <c:extLst>
            <c:ext xmlns:c16="http://schemas.microsoft.com/office/drawing/2014/chart" uri="{C3380CC4-5D6E-409C-BE32-E72D297353CC}">
              <c16:uniqueId val="{00000002-9B5C-4E6E-A7C3-337763D09DB1}"/>
            </c:ext>
          </c:extLst>
        </c:ser>
        <c:ser>
          <c:idx val="2"/>
          <c:order val="2"/>
          <c:tx>
            <c:strRef>
              <c:f>'HR Attrition'!$N$23:$N$24</c:f>
              <c:strCache>
                <c:ptCount val="1"/>
                <c:pt idx="0">
                  <c:v>IT</c:v>
                </c:pt>
              </c:strCache>
            </c:strRef>
          </c:tx>
          <c:spPr>
            <a:solidFill>
              <a:schemeClr val="accent3"/>
            </a:solidFill>
            <a:ln>
              <a:noFill/>
            </a:ln>
            <a:effectLst/>
          </c:spPr>
          <c:invertIfNegative val="0"/>
          <c:cat>
            <c:strRef>
              <c:f>'HR Attrition'!$K$25:$K$31</c:f>
              <c:strCache>
                <c:ptCount val="6"/>
                <c:pt idx="0">
                  <c:v>2021</c:v>
                </c:pt>
                <c:pt idx="1">
                  <c:v>2022</c:v>
                </c:pt>
                <c:pt idx="2">
                  <c:v>2023</c:v>
                </c:pt>
                <c:pt idx="3">
                  <c:v>2024</c:v>
                </c:pt>
                <c:pt idx="4">
                  <c:v>2025</c:v>
                </c:pt>
                <c:pt idx="5">
                  <c:v>2026</c:v>
                </c:pt>
              </c:strCache>
            </c:strRef>
          </c:cat>
          <c:val>
            <c:numRef>
              <c:f>'HR Attrition'!$N$25:$N$31</c:f>
              <c:numCache>
                <c:formatCode>General</c:formatCode>
                <c:ptCount val="6"/>
                <c:pt idx="3">
                  <c:v>2</c:v>
                </c:pt>
              </c:numCache>
            </c:numRef>
          </c:val>
          <c:extLst>
            <c:ext xmlns:c16="http://schemas.microsoft.com/office/drawing/2014/chart" uri="{C3380CC4-5D6E-409C-BE32-E72D297353CC}">
              <c16:uniqueId val="{00000003-9B5C-4E6E-A7C3-337763D09DB1}"/>
            </c:ext>
          </c:extLst>
        </c:ser>
        <c:ser>
          <c:idx val="3"/>
          <c:order val="3"/>
          <c:tx>
            <c:strRef>
              <c:f>'HR Attrition'!$O$23:$O$24</c:f>
              <c:strCache>
                <c:ptCount val="1"/>
                <c:pt idx="0">
                  <c:v>Sales</c:v>
                </c:pt>
              </c:strCache>
            </c:strRef>
          </c:tx>
          <c:spPr>
            <a:solidFill>
              <a:schemeClr val="accent4"/>
            </a:solidFill>
            <a:ln>
              <a:noFill/>
            </a:ln>
            <a:effectLst/>
          </c:spPr>
          <c:invertIfNegative val="0"/>
          <c:cat>
            <c:strRef>
              <c:f>'HR Attrition'!$K$25:$K$31</c:f>
              <c:strCache>
                <c:ptCount val="6"/>
                <c:pt idx="0">
                  <c:v>2021</c:v>
                </c:pt>
                <c:pt idx="1">
                  <c:v>2022</c:v>
                </c:pt>
                <c:pt idx="2">
                  <c:v>2023</c:v>
                </c:pt>
                <c:pt idx="3">
                  <c:v>2024</c:v>
                </c:pt>
                <c:pt idx="4">
                  <c:v>2025</c:v>
                </c:pt>
                <c:pt idx="5">
                  <c:v>2026</c:v>
                </c:pt>
              </c:strCache>
            </c:strRef>
          </c:cat>
          <c:val>
            <c:numRef>
              <c:f>'HR Attrition'!$O$25:$O$31</c:f>
              <c:numCache>
                <c:formatCode>General</c:formatCode>
                <c:ptCount val="6"/>
                <c:pt idx="0">
                  <c:v>1</c:v>
                </c:pt>
                <c:pt idx="1">
                  <c:v>1</c:v>
                </c:pt>
                <c:pt idx="2">
                  <c:v>2</c:v>
                </c:pt>
              </c:numCache>
            </c:numRef>
          </c:val>
          <c:extLst>
            <c:ext xmlns:c16="http://schemas.microsoft.com/office/drawing/2014/chart" uri="{C3380CC4-5D6E-409C-BE32-E72D297353CC}">
              <c16:uniqueId val="{00000004-9B5C-4E6E-A7C3-337763D09DB1}"/>
            </c:ext>
          </c:extLst>
        </c:ser>
        <c:ser>
          <c:idx val="4"/>
          <c:order val="4"/>
          <c:tx>
            <c:strRef>
              <c:f>'HR Attrition'!$P$23:$P$24</c:f>
              <c:strCache>
                <c:ptCount val="1"/>
                <c:pt idx="0">
                  <c:v>Support</c:v>
                </c:pt>
              </c:strCache>
            </c:strRef>
          </c:tx>
          <c:spPr>
            <a:solidFill>
              <a:schemeClr val="accent5"/>
            </a:solidFill>
            <a:ln>
              <a:noFill/>
            </a:ln>
            <a:effectLst/>
          </c:spPr>
          <c:invertIfNegative val="0"/>
          <c:cat>
            <c:strRef>
              <c:f>'HR Attrition'!$K$25:$K$31</c:f>
              <c:strCache>
                <c:ptCount val="6"/>
                <c:pt idx="0">
                  <c:v>2021</c:v>
                </c:pt>
                <c:pt idx="1">
                  <c:v>2022</c:v>
                </c:pt>
                <c:pt idx="2">
                  <c:v>2023</c:v>
                </c:pt>
                <c:pt idx="3">
                  <c:v>2024</c:v>
                </c:pt>
                <c:pt idx="4">
                  <c:v>2025</c:v>
                </c:pt>
                <c:pt idx="5">
                  <c:v>2026</c:v>
                </c:pt>
              </c:strCache>
            </c:strRef>
          </c:cat>
          <c:val>
            <c:numRef>
              <c:f>'HR Attrition'!$P$25:$P$31</c:f>
              <c:numCache>
                <c:formatCode>General</c:formatCode>
                <c:ptCount val="6"/>
                <c:pt idx="0">
                  <c:v>1</c:v>
                </c:pt>
                <c:pt idx="2">
                  <c:v>1</c:v>
                </c:pt>
                <c:pt idx="3">
                  <c:v>1</c:v>
                </c:pt>
                <c:pt idx="4">
                  <c:v>1</c:v>
                </c:pt>
              </c:numCache>
            </c:numRef>
          </c:val>
          <c:extLst>
            <c:ext xmlns:c16="http://schemas.microsoft.com/office/drawing/2014/chart" uri="{C3380CC4-5D6E-409C-BE32-E72D297353CC}">
              <c16:uniqueId val="{00000005-9B5C-4E6E-A7C3-337763D09DB1}"/>
            </c:ext>
          </c:extLst>
        </c:ser>
        <c:dLbls>
          <c:showLegendKey val="0"/>
          <c:showVal val="0"/>
          <c:showCatName val="0"/>
          <c:showSerName val="0"/>
          <c:showPercent val="0"/>
          <c:showBubbleSize val="0"/>
        </c:dLbls>
        <c:gapWidth val="219"/>
        <c:overlap val="-27"/>
        <c:axId val="499720015"/>
        <c:axId val="499732015"/>
      </c:barChart>
      <c:catAx>
        <c:axId val="499720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732015"/>
        <c:crosses val="autoZero"/>
        <c:auto val="1"/>
        <c:lblAlgn val="ctr"/>
        <c:lblOffset val="100"/>
        <c:noMultiLvlLbl val="0"/>
      </c:catAx>
      <c:valAx>
        <c:axId val="499732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720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[pivot_tables_dashboards.xlsx]Inventory!PivotTable11</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Opening vs Closing Stock by Category</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Inventory!$L$2</c:f>
              <c:strCache>
                <c:ptCount val="1"/>
                <c:pt idx="0">
                  <c:v>Sum of Quantity Purchased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Inventory!$K$3:$K$6</c:f>
              <c:strCache>
                <c:ptCount val="3"/>
                <c:pt idx="0">
                  <c:v>Electronics</c:v>
                </c:pt>
                <c:pt idx="1">
                  <c:v>Furniture</c:v>
                </c:pt>
                <c:pt idx="2">
                  <c:v>Stationery</c:v>
                </c:pt>
              </c:strCache>
            </c:strRef>
          </c:cat>
          <c:val>
            <c:numRef>
              <c:f>Inventory!$L$3:$L$6</c:f>
              <c:numCache>
                <c:formatCode>General</c:formatCode>
                <c:ptCount val="3"/>
                <c:pt idx="0">
                  <c:v>250</c:v>
                </c:pt>
                <c:pt idx="1">
                  <c:v>205</c:v>
                </c:pt>
                <c:pt idx="2">
                  <c:v>186</c:v>
                </c:pt>
              </c:numCache>
            </c:numRef>
          </c:val>
          <c:extLst>
            <c:ext xmlns:c16="http://schemas.microsoft.com/office/drawing/2014/chart" uri="{C3380CC4-5D6E-409C-BE32-E72D297353CC}">
              <c16:uniqueId val="{00000000-71CB-49F4-A035-47AE6C2D26DF}"/>
            </c:ext>
          </c:extLst>
        </c:ser>
        <c:ser>
          <c:idx val="1"/>
          <c:order val="1"/>
          <c:tx>
            <c:strRef>
              <c:f>Inventory!$M$2</c:f>
              <c:strCache>
                <c:ptCount val="1"/>
                <c:pt idx="0">
                  <c:v>Sum of Quantity Sold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Inventory!$K$3:$K$6</c:f>
              <c:strCache>
                <c:ptCount val="3"/>
                <c:pt idx="0">
                  <c:v>Electronics</c:v>
                </c:pt>
                <c:pt idx="1">
                  <c:v>Furniture</c:v>
                </c:pt>
                <c:pt idx="2">
                  <c:v>Stationery</c:v>
                </c:pt>
              </c:strCache>
            </c:strRef>
          </c:cat>
          <c:val>
            <c:numRef>
              <c:f>Inventory!$M$3:$M$6</c:f>
              <c:numCache>
                <c:formatCode>General</c:formatCode>
                <c:ptCount val="3"/>
                <c:pt idx="0">
                  <c:v>206</c:v>
                </c:pt>
                <c:pt idx="1">
                  <c:v>244</c:v>
                </c:pt>
                <c:pt idx="2">
                  <c:v>164</c:v>
                </c:pt>
              </c:numCache>
            </c:numRef>
          </c:val>
          <c:extLst>
            <c:ext xmlns:c16="http://schemas.microsoft.com/office/drawing/2014/chart" uri="{C3380CC4-5D6E-409C-BE32-E72D297353CC}">
              <c16:uniqueId val="{00000001-71CB-49F4-A035-47AE6C2D26DF}"/>
            </c:ext>
          </c:extLst>
        </c:ser>
        <c:dLbls>
          <c:dLblPos val="ctr"/>
          <c:showLegendKey val="0"/>
          <c:showVal val="1"/>
          <c:showCatName val="0"/>
          <c:showSerName val="0"/>
          <c:showPercent val="0"/>
          <c:showBubbleSize val="0"/>
        </c:dLbls>
        <c:gapWidth val="150"/>
        <c:overlap val="100"/>
        <c:axId val="967506656"/>
        <c:axId val="967516736"/>
      </c:barChart>
      <c:catAx>
        <c:axId val="967506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7516736"/>
        <c:crosses val="autoZero"/>
        <c:auto val="1"/>
        <c:lblAlgn val="ctr"/>
        <c:lblOffset val="100"/>
        <c:noMultiLvlLbl val="0"/>
      </c:catAx>
      <c:valAx>
        <c:axId val="9675167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7506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[pivot_tables_dashboards.xlsx]Inventory!PivotTable2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t>Weekly Movement Trends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Inventory!$L$16</c:f>
              <c:strCache>
                <c:ptCount val="1"/>
                <c:pt idx="0">
                  <c:v>Sum of Quantity Purchased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Inventory!$K$17:$K$40</c:f>
              <c:strCache>
                <c:ptCount val="23"/>
                <c:pt idx="0">
                  <c:v>11-01-2023 - 17-01-2023</c:v>
                </c:pt>
                <c:pt idx="1">
                  <c:v>18-01-2023 - 24-01-2023</c:v>
                </c:pt>
                <c:pt idx="2">
                  <c:v>15-02-2023 - 21-02-2023</c:v>
                </c:pt>
                <c:pt idx="3">
                  <c:v>22-02-2023 - 28-02-2023</c:v>
                </c:pt>
                <c:pt idx="4">
                  <c:v>01-03-2023 - 07-03-2023</c:v>
                </c:pt>
                <c:pt idx="5">
                  <c:v>15-03-2023 - 21-03-2023</c:v>
                </c:pt>
                <c:pt idx="6">
                  <c:v>05-04-2023 - 11-04-2023</c:v>
                </c:pt>
                <c:pt idx="7">
                  <c:v>19-04-2023 - 25-04-2023</c:v>
                </c:pt>
                <c:pt idx="8">
                  <c:v>03-05-2023 - 09-05-2023</c:v>
                </c:pt>
                <c:pt idx="9">
                  <c:v>14-06-2023 - 20-06-2023</c:v>
                </c:pt>
                <c:pt idx="10">
                  <c:v>21-06-2023 - 27-06-2023</c:v>
                </c:pt>
                <c:pt idx="11">
                  <c:v>12-07-2023 - 18-07-2023</c:v>
                </c:pt>
                <c:pt idx="12">
                  <c:v>09-08-2023 - 15-08-2023</c:v>
                </c:pt>
                <c:pt idx="13">
                  <c:v>16-08-2023 - 22-08-2023</c:v>
                </c:pt>
                <c:pt idx="14">
                  <c:v>23-08-2023 - 29-08-2023</c:v>
                </c:pt>
                <c:pt idx="15">
                  <c:v>20-09-2023 - 26-09-2023</c:v>
                </c:pt>
                <c:pt idx="16">
                  <c:v>11-10-2023 - 17-10-2023</c:v>
                </c:pt>
                <c:pt idx="17">
                  <c:v>25-10-2023 - 31-10-2023</c:v>
                </c:pt>
                <c:pt idx="18">
                  <c:v>15-11-2023 - 21-11-2023</c:v>
                </c:pt>
                <c:pt idx="19">
                  <c:v>29-11-2023 - 05-12-2023</c:v>
                </c:pt>
                <c:pt idx="20">
                  <c:v>06-12-2023 - 12-12-2023</c:v>
                </c:pt>
                <c:pt idx="21">
                  <c:v>13-12-2023 - 19-12-2023</c:v>
                </c:pt>
                <c:pt idx="22">
                  <c:v>20-12-2023 - 26-12-2023</c:v>
                </c:pt>
              </c:strCache>
            </c:strRef>
          </c:cat>
          <c:val>
            <c:numRef>
              <c:f>Inventory!$L$17:$L$40</c:f>
              <c:numCache>
                <c:formatCode>General</c:formatCode>
                <c:ptCount val="23"/>
                <c:pt idx="0">
                  <c:v>102</c:v>
                </c:pt>
                <c:pt idx="1">
                  <c:v>144</c:v>
                </c:pt>
                <c:pt idx="2">
                  <c:v>87</c:v>
                </c:pt>
                <c:pt idx="3">
                  <c:v>25</c:v>
                </c:pt>
                <c:pt idx="4">
                  <c:v>57</c:v>
                </c:pt>
                <c:pt idx="5">
                  <c:v>91</c:v>
                </c:pt>
                <c:pt idx="6">
                  <c:v>50</c:v>
                </c:pt>
                <c:pt idx="7">
                  <c:v>68</c:v>
                </c:pt>
                <c:pt idx="8">
                  <c:v>66</c:v>
                </c:pt>
                <c:pt idx="9">
                  <c:v>49</c:v>
                </c:pt>
                <c:pt idx="10">
                  <c:v>70</c:v>
                </c:pt>
                <c:pt idx="11">
                  <c:v>75</c:v>
                </c:pt>
                <c:pt idx="12">
                  <c:v>70</c:v>
                </c:pt>
                <c:pt idx="13">
                  <c:v>84</c:v>
                </c:pt>
                <c:pt idx="14">
                  <c:v>28</c:v>
                </c:pt>
                <c:pt idx="15">
                  <c:v>72</c:v>
                </c:pt>
                <c:pt idx="16">
                  <c:v>81</c:v>
                </c:pt>
                <c:pt idx="17">
                  <c:v>156</c:v>
                </c:pt>
                <c:pt idx="18">
                  <c:v>59</c:v>
                </c:pt>
                <c:pt idx="19">
                  <c:v>46</c:v>
                </c:pt>
                <c:pt idx="20">
                  <c:v>63</c:v>
                </c:pt>
                <c:pt idx="21">
                  <c:v>29</c:v>
                </c:pt>
                <c:pt idx="22">
                  <c:v>47</c:v>
                </c:pt>
              </c:numCache>
            </c:numRef>
          </c:val>
          <c:smooth val="0"/>
          <c:extLst>
            <c:ext xmlns:c16="http://schemas.microsoft.com/office/drawing/2014/chart" uri="{C3380CC4-5D6E-409C-BE32-E72D297353CC}">
              <c16:uniqueId val="{00000000-0B9B-4457-AE1F-A8DEDF981C7E}"/>
            </c:ext>
          </c:extLst>
        </c:ser>
        <c:ser>
          <c:idx val="1"/>
          <c:order val="1"/>
          <c:tx>
            <c:strRef>
              <c:f>Inventory!$M$16</c:f>
              <c:strCache>
                <c:ptCount val="1"/>
                <c:pt idx="0">
                  <c:v>Sum of Quantity Sold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Inventory!$K$17:$K$40</c:f>
              <c:strCache>
                <c:ptCount val="23"/>
                <c:pt idx="0">
                  <c:v>11-01-2023 - 17-01-2023</c:v>
                </c:pt>
                <c:pt idx="1">
                  <c:v>18-01-2023 - 24-01-2023</c:v>
                </c:pt>
                <c:pt idx="2">
                  <c:v>15-02-2023 - 21-02-2023</c:v>
                </c:pt>
                <c:pt idx="3">
                  <c:v>22-02-2023 - 28-02-2023</c:v>
                </c:pt>
                <c:pt idx="4">
                  <c:v>01-03-2023 - 07-03-2023</c:v>
                </c:pt>
                <c:pt idx="5">
                  <c:v>15-03-2023 - 21-03-2023</c:v>
                </c:pt>
                <c:pt idx="6">
                  <c:v>05-04-2023 - 11-04-2023</c:v>
                </c:pt>
                <c:pt idx="7">
                  <c:v>19-04-2023 - 25-04-2023</c:v>
                </c:pt>
                <c:pt idx="8">
                  <c:v>03-05-2023 - 09-05-2023</c:v>
                </c:pt>
                <c:pt idx="9">
                  <c:v>14-06-2023 - 20-06-2023</c:v>
                </c:pt>
                <c:pt idx="10">
                  <c:v>21-06-2023 - 27-06-2023</c:v>
                </c:pt>
                <c:pt idx="11">
                  <c:v>12-07-2023 - 18-07-2023</c:v>
                </c:pt>
                <c:pt idx="12">
                  <c:v>09-08-2023 - 15-08-2023</c:v>
                </c:pt>
                <c:pt idx="13">
                  <c:v>16-08-2023 - 22-08-2023</c:v>
                </c:pt>
                <c:pt idx="14">
                  <c:v>23-08-2023 - 29-08-2023</c:v>
                </c:pt>
                <c:pt idx="15">
                  <c:v>20-09-2023 - 26-09-2023</c:v>
                </c:pt>
                <c:pt idx="16">
                  <c:v>11-10-2023 - 17-10-2023</c:v>
                </c:pt>
                <c:pt idx="17">
                  <c:v>25-10-2023 - 31-10-2023</c:v>
                </c:pt>
                <c:pt idx="18">
                  <c:v>15-11-2023 - 21-11-2023</c:v>
                </c:pt>
                <c:pt idx="19">
                  <c:v>29-11-2023 - 05-12-2023</c:v>
                </c:pt>
                <c:pt idx="20">
                  <c:v>06-12-2023 - 12-12-2023</c:v>
                </c:pt>
                <c:pt idx="21">
                  <c:v>13-12-2023 - 19-12-2023</c:v>
                </c:pt>
                <c:pt idx="22">
                  <c:v>20-12-2023 - 26-12-2023</c:v>
                </c:pt>
              </c:strCache>
            </c:strRef>
          </c:cat>
          <c:val>
            <c:numRef>
              <c:f>Inventory!$M$17:$M$40</c:f>
              <c:numCache>
                <c:formatCode>General</c:formatCode>
                <c:ptCount val="23"/>
                <c:pt idx="0">
                  <c:v>133</c:v>
                </c:pt>
                <c:pt idx="1">
                  <c:v>92</c:v>
                </c:pt>
                <c:pt idx="2">
                  <c:v>43</c:v>
                </c:pt>
                <c:pt idx="3">
                  <c:v>79</c:v>
                </c:pt>
                <c:pt idx="4">
                  <c:v>68</c:v>
                </c:pt>
                <c:pt idx="5">
                  <c:v>78</c:v>
                </c:pt>
                <c:pt idx="6">
                  <c:v>66</c:v>
                </c:pt>
                <c:pt idx="7">
                  <c:v>55</c:v>
                </c:pt>
                <c:pt idx="8">
                  <c:v>46</c:v>
                </c:pt>
                <c:pt idx="9">
                  <c:v>15</c:v>
                </c:pt>
                <c:pt idx="10">
                  <c:v>56</c:v>
                </c:pt>
                <c:pt idx="11">
                  <c:v>70</c:v>
                </c:pt>
                <c:pt idx="12">
                  <c:v>81</c:v>
                </c:pt>
                <c:pt idx="13">
                  <c:v>80</c:v>
                </c:pt>
                <c:pt idx="14">
                  <c:v>40</c:v>
                </c:pt>
                <c:pt idx="15">
                  <c:v>118</c:v>
                </c:pt>
                <c:pt idx="16">
                  <c:v>75</c:v>
                </c:pt>
                <c:pt idx="17">
                  <c:v>82</c:v>
                </c:pt>
                <c:pt idx="18">
                  <c:v>20</c:v>
                </c:pt>
                <c:pt idx="19">
                  <c:v>68</c:v>
                </c:pt>
                <c:pt idx="20">
                  <c:v>67</c:v>
                </c:pt>
                <c:pt idx="21">
                  <c:v>44</c:v>
                </c:pt>
                <c:pt idx="22">
                  <c:v>68</c:v>
                </c:pt>
              </c:numCache>
            </c:numRef>
          </c:val>
          <c:smooth val="0"/>
          <c:extLst>
            <c:ext xmlns:c16="http://schemas.microsoft.com/office/drawing/2014/chart" uri="{C3380CC4-5D6E-409C-BE32-E72D297353CC}">
              <c16:uniqueId val="{00000001-0B9B-4457-AE1F-A8DEDF981C7E}"/>
            </c:ext>
          </c:extLst>
        </c:ser>
        <c:ser>
          <c:idx val="2"/>
          <c:order val="2"/>
          <c:tx>
            <c:strRef>
              <c:f>Inventory!$N$16</c:f>
              <c:strCache>
                <c:ptCount val="1"/>
                <c:pt idx="0">
                  <c:v>Sum of Net movement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Inventory!$K$17:$K$40</c:f>
              <c:strCache>
                <c:ptCount val="23"/>
                <c:pt idx="0">
                  <c:v>11-01-2023 - 17-01-2023</c:v>
                </c:pt>
                <c:pt idx="1">
                  <c:v>18-01-2023 - 24-01-2023</c:v>
                </c:pt>
                <c:pt idx="2">
                  <c:v>15-02-2023 - 21-02-2023</c:v>
                </c:pt>
                <c:pt idx="3">
                  <c:v>22-02-2023 - 28-02-2023</c:v>
                </c:pt>
                <c:pt idx="4">
                  <c:v>01-03-2023 - 07-03-2023</c:v>
                </c:pt>
                <c:pt idx="5">
                  <c:v>15-03-2023 - 21-03-2023</c:v>
                </c:pt>
                <c:pt idx="6">
                  <c:v>05-04-2023 - 11-04-2023</c:v>
                </c:pt>
                <c:pt idx="7">
                  <c:v>19-04-2023 - 25-04-2023</c:v>
                </c:pt>
                <c:pt idx="8">
                  <c:v>03-05-2023 - 09-05-2023</c:v>
                </c:pt>
                <c:pt idx="9">
                  <c:v>14-06-2023 - 20-06-2023</c:v>
                </c:pt>
                <c:pt idx="10">
                  <c:v>21-06-2023 - 27-06-2023</c:v>
                </c:pt>
                <c:pt idx="11">
                  <c:v>12-07-2023 - 18-07-2023</c:v>
                </c:pt>
                <c:pt idx="12">
                  <c:v>09-08-2023 - 15-08-2023</c:v>
                </c:pt>
                <c:pt idx="13">
                  <c:v>16-08-2023 - 22-08-2023</c:v>
                </c:pt>
                <c:pt idx="14">
                  <c:v>23-08-2023 - 29-08-2023</c:v>
                </c:pt>
                <c:pt idx="15">
                  <c:v>20-09-2023 - 26-09-2023</c:v>
                </c:pt>
                <c:pt idx="16">
                  <c:v>11-10-2023 - 17-10-2023</c:v>
                </c:pt>
                <c:pt idx="17">
                  <c:v>25-10-2023 - 31-10-2023</c:v>
                </c:pt>
                <c:pt idx="18">
                  <c:v>15-11-2023 - 21-11-2023</c:v>
                </c:pt>
                <c:pt idx="19">
                  <c:v>29-11-2023 - 05-12-2023</c:v>
                </c:pt>
                <c:pt idx="20">
                  <c:v>06-12-2023 - 12-12-2023</c:v>
                </c:pt>
                <c:pt idx="21">
                  <c:v>13-12-2023 - 19-12-2023</c:v>
                </c:pt>
                <c:pt idx="22">
                  <c:v>20-12-2023 - 26-12-2023</c:v>
                </c:pt>
              </c:strCache>
            </c:strRef>
          </c:cat>
          <c:val>
            <c:numRef>
              <c:f>Inventory!$N$17:$N$40</c:f>
              <c:numCache>
                <c:formatCode>General</c:formatCode>
                <c:ptCount val="23"/>
                <c:pt idx="0">
                  <c:v>-31</c:v>
                </c:pt>
                <c:pt idx="1">
                  <c:v>52</c:v>
                </c:pt>
                <c:pt idx="2">
                  <c:v>44</c:v>
                </c:pt>
                <c:pt idx="3">
                  <c:v>-54</c:v>
                </c:pt>
                <c:pt idx="4">
                  <c:v>-11</c:v>
                </c:pt>
                <c:pt idx="5">
                  <c:v>13</c:v>
                </c:pt>
                <c:pt idx="6">
                  <c:v>-16</c:v>
                </c:pt>
                <c:pt idx="7">
                  <c:v>13</c:v>
                </c:pt>
                <c:pt idx="8">
                  <c:v>20</c:v>
                </c:pt>
                <c:pt idx="9">
                  <c:v>34</c:v>
                </c:pt>
                <c:pt idx="10">
                  <c:v>14</c:v>
                </c:pt>
                <c:pt idx="11">
                  <c:v>5</c:v>
                </c:pt>
                <c:pt idx="12">
                  <c:v>-11</c:v>
                </c:pt>
                <c:pt idx="13">
                  <c:v>4</c:v>
                </c:pt>
                <c:pt idx="14">
                  <c:v>-12</c:v>
                </c:pt>
                <c:pt idx="15">
                  <c:v>-46</c:v>
                </c:pt>
                <c:pt idx="16">
                  <c:v>6</c:v>
                </c:pt>
                <c:pt idx="17">
                  <c:v>74</c:v>
                </c:pt>
                <c:pt idx="18">
                  <c:v>39</c:v>
                </c:pt>
                <c:pt idx="19">
                  <c:v>-22</c:v>
                </c:pt>
                <c:pt idx="20">
                  <c:v>-4</c:v>
                </c:pt>
                <c:pt idx="21">
                  <c:v>-15</c:v>
                </c:pt>
                <c:pt idx="22">
                  <c:v>-21</c:v>
                </c:pt>
              </c:numCache>
            </c:numRef>
          </c:val>
          <c:smooth val="0"/>
          <c:extLst>
            <c:ext xmlns:c16="http://schemas.microsoft.com/office/drawing/2014/chart" uri="{C3380CC4-5D6E-409C-BE32-E72D297353CC}">
              <c16:uniqueId val="{00000002-0B9B-4457-AE1F-A8DEDF981C7E}"/>
            </c:ext>
          </c:extLst>
        </c:ser>
        <c:dLbls>
          <c:showLegendKey val="0"/>
          <c:showVal val="0"/>
          <c:showCatName val="0"/>
          <c:showSerName val="0"/>
          <c:showPercent val="0"/>
          <c:showBubbleSize val="0"/>
        </c:dLbls>
        <c:marker val="1"/>
        <c:smooth val="0"/>
        <c:axId val="967555136"/>
        <c:axId val="967555616"/>
      </c:lineChart>
      <c:catAx>
        <c:axId val="967555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7555616"/>
        <c:crosses val="autoZero"/>
        <c:auto val="1"/>
        <c:lblAlgn val="ctr"/>
        <c:lblOffset val="100"/>
        <c:noMultiLvlLbl val="0"/>
      </c:catAx>
      <c:valAx>
        <c:axId val="967555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7555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[pivot_tables_dashboards.xlsx]Expense Tracking!PivotTable4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Budget vs Expense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'Expense Tracking'!$J$3</c:f>
              <c:strCache>
                <c:ptCount val="1"/>
                <c:pt idx="0">
                  <c:v>Sum of Expense Amount</c:v>
                </c:pt>
              </c:strCache>
            </c:strRef>
          </c:tx>
          <c:spPr>
            <a:solidFill>
              <a:schemeClr val="accent1"/>
            </a:solidFill>
            <a:ln>
              <a:noFill/>
            </a:ln>
            <a:effectLst/>
          </c:spPr>
          <c:invertIfNegative val="0"/>
          <c:cat>
            <c:strRef>
              <c:f>'Expense Tracking'!$I$4:$I$8</c:f>
              <c:strCache>
                <c:ptCount val="4"/>
                <c:pt idx="0">
                  <c:v>Admin</c:v>
                </c:pt>
                <c:pt idx="1">
                  <c:v>IT</c:v>
                </c:pt>
                <c:pt idx="2">
                  <c:v>Marketing</c:v>
                </c:pt>
                <c:pt idx="3">
                  <c:v>Operations</c:v>
                </c:pt>
              </c:strCache>
            </c:strRef>
          </c:cat>
          <c:val>
            <c:numRef>
              <c:f>'Expense Tracking'!$J$4:$J$8</c:f>
              <c:numCache>
                <c:formatCode>General</c:formatCode>
                <c:ptCount val="4"/>
                <c:pt idx="0">
                  <c:v>54260</c:v>
                </c:pt>
                <c:pt idx="1">
                  <c:v>48167</c:v>
                </c:pt>
                <c:pt idx="2">
                  <c:v>11562</c:v>
                </c:pt>
                <c:pt idx="3">
                  <c:v>40872</c:v>
                </c:pt>
              </c:numCache>
            </c:numRef>
          </c:val>
          <c:extLst>
            <c:ext xmlns:c16="http://schemas.microsoft.com/office/drawing/2014/chart" uri="{C3380CC4-5D6E-409C-BE32-E72D297353CC}">
              <c16:uniqueId val="{00000000-B6A1-4C3C-8F17-37A7D31A908D}"/>
            </c:ext>
          </c:extLst>
        </c:ser>
        <c:ser>
          <c:idx val="1"/>
          <c:order val="1"/>
          <c:tx>
            <c:strRef>
              <c:f>'Expense Tracking'!$K$3</c:f>
              <c:strCache>
                <c:ptCount val="1"/>
                <c:pt idx="0">
                  <c:v>Sum of Budget</c:v>
                </c:pt>
              </c:strCache>
            </c:strRef>
          </c:tx>
          <c:spPr>
            <a:solidFill>
              <a:schemeClr val="accent2"/>
            </a:solidFill>
            <a:ln>
              <a:noFill/>
            </a:ln>
            <a:effectLst/>
          </c:spPr>
          <c:invertIfNegative val="0"/>
          <c:cat>
            <c:strRef>
              <c:f>'Expense Tracking'!$I$4:$I$8</c:f>
              <c:strCache>
                <c:ptCount val="4"/>
                <c:pt idx="0">
                  <c:v>Admin</c:v>
                </c:pt>
                <c:pt idx="1">
                  <c:v>IT</c:v>
                </c:pt>
                <c:pt idx="2">
                  <c:v>Marketing</c:v>
                </c:pt>
                <c:pt idx="3">
                  <c:v>Operations</c:v>
                </c:pt>
              </c:strCache>
            </c:strRef>
          </c:cat>
          <c:val>
            <c:numRef>
              <c:f>'Expense Tracking'!$K$4:$K$8</c:f>
              <c:numCache>
                <c:formatCode>General</c:formatCode>
                <c:ptCount val="4"/>
                <c:pt idx="0">
                  <c:v>100201</c:v>
                </c:pt>
                <c:pt idx="1">
                  <c:v>86839</c:v>
                </c:pt>
                <c:pt idx="2">
                  <c:v>21818</c:v>
                </c:pt>
                <c:pt idx="3">
                  <c:v>82279</c:v>
                </c:pt>
              </c:numCache>
            </c:numRef>
          </c:val>
          <c:extLst>
            <c:ext xmlns:c16="http://schemas.microsoft.com/office/drawing/2014/chart" uri="{C3380CC4-5D6E-409C-BE32-E72D297353CC}">
              <c16:uniqueId val="{00000001-B6A1-4C3C-8F17-37A7D31A908D}"/>
            </c:ext>
          </c:extLst>
        </c:ser>
        <c:dLbls>
          <c:showLegendKey val="0"/>
          <c:showVal val="0"/>
          <c:showCatName val="0"/>
          <c:showSerName val="0"/>
          <c:showPercent val="0"/>
          <c:showBubbleSize val="0"/>
        </c:dLbls>
        <c:gapWidth val="182"/>
        <c:axId val="978850320"/>
        <c:axId val="978861840"/>
      </c:barChart>
      <c:catAx>
        <c:axId val="978850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861840"/>
        <c:crosses val="autoZero"/>
        <c:auto val="1"/>
        <c:lblAlgn val="ctr"/>
        <c:lblOffset val="100"/>
        <c:noMultiLvlLbl val="0"/>
      </c:catAx>
      <c:valAx>
        <c:axId val="9788618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850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[pivot_tables_dashboards.xlsx]Customer Orders!PivotTable9</c:name>
    <c:fmtId val="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600" b="1"/>
              <a:t>Monthly Orders and Revenue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'Customer Orders'!$L$24</c:f>
              <c:strCache>
                <c:ptCount val="1"/>
                <c:pt idx="0">
                  <c:v>Sum of Order Value</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Orders'!$K$25:$K$35</c:f>
              <c:strCache>
                <c:ptCount val="10"/>
                <c:pt idx="0">
                  <c:v>Feb</c:v>
                </c:pt>
                <c:pt idx="1">
                  <c:v>Mar</c:v>
                </c:pt>
                <c:pt idx="2">
                  <c:v>Apr</c:v>
                </c:pt>
                <c:pt idx="3">
                  <c:v>May</c:v>
                </c:pt>
                <c:pt idx="4">
                  <c:v>Jun</c:v>
                </c:pt>
                <c:pt idx="5">
                  <c:v>Jul</c:v>
                </c:pt>
                <c:pt idx="6">
                  <c:v>Aug</c:v>
                </c:pt>
                <c:pt idx="7">
                  <c:v>Sep</c:v>
                </c:pt>
                <c:pt idx="8">
                  <c:v>Oct</c:v>
                </c:pt>
                <c:pt idx="9">
                  <c:v>Nov</c:v>
                </c:pt>
              </c:strCache>
            </c:strRef>
          </c:cat>
          <c:val>
            <c:numRef>
              <c:f>'Customer Orders'!$L$25:$L$35</c:f>
              <c:numCache>
                <c:formatCode>General</c:formatCode>
                <c:ptCount val="10"/>
                <c:pt idx="0">
                  <c:v>91056</c:v>
                </c:pt>
                <c:pt idx="1">
                  <c:v>14341</c:v>
                </c:pt>
                <c:pt idx="2">
                  <c:v>43861</c:v>
                </c:pt>
                <c:pt idx="3">
                  <c:v>115886</c:v>
                </c:pt>
                <c:pt idx="4">
                  <c:v>45803</c:v>
                </c:pt>
                <c:pt idx="5">
                  <c:v>140518</c:v>
                </c:pt>
                <c:pt idx="6">
                  <c:v>15431</c:v>
                </c:pt>
                <c:pt idx="7">
                  <c:v>87783</c:v>
                </c:pt>
                <c:pt idx="8">
                  <c:v>150393</c:v>
                </c:pt>
                <c:pt idx="9">
                  <c:v>80469</c:v>
                </c:pt>
              </c:numCache>
            </c:numRef>
          </c:val>
          <c:smooth val="0"/>
          <c:extLst>
            <c:ext xmlns:c16="http://schemas.microsoft.com/office/drawing/2014/chart" uri="{C3380CC4-5D6E-409C-BE32-E72D297353CC}">
              <c16:uniqueId val="{00000000-8E0B-496B-AC9B-DDDCA433AB80}"/>
            </c:ext>
          </c:extLst>
        </c:ser>
        <c:ser>
          <c:idx val="1"/>
          <c:order val="1"/>
          <c:tx>
            <c:strRef>
              <c:f>'Customer Orders'!$M$24</c:f>
              <c:strCache>
                <c:ptCount val="1"/>
                <c:pt idx="0">
                  <c:v>Count of Order ID</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Orders'!$K$25:$K$35</c:f>
              <c:strCache>
                <c:ptCount val="10"/>
                <c:pt idx="0">
                  <c:v>Feb</c:v>
                </c:pt>
                <c:pt idx="1">
                  <c:v>Mar</c:v>
                </c:pt>
                <c:pt idx="2">
                  <c:v>Apr</c:v>
                </c:pt>
                <c:pt idx="3">
                  <c:v>May</c:v>
                </c:pt>
                <c:pt idx="4">
                  <c:v>Jun</c:v>
                </c:pt>
                <c:pt idx="5">
                  <c:v>Jul</c:v>
                </c:pt>
                <c:pt idx="6">
                  <c:v>Aug</c:v>
                </c:pt>
                <c:pt idx="7">
                  <c:v>Sep</c:v>
                </c:pt>
                <c:pt idx="8">
                  <c:v>Oct</c:v>
                </c:pt>
                <c:pt idx="9">
                  <c:v>Nov</c:v>
                </c:pt>
              </c:strCache>
            </c:strRef>
          </c:cat>
          <c:val>
            <c:numRef>
              <c:f>'Customer Orders'!$M$25:$M$35</c:f>
              <c:numCache>
                <c:formatCode>General</c:formatCode>
                <c:ptCount val="10"/>
                <c:pt idx="0">
                  <c:v>3</c:v>
                </c:pt>
                <c:pt idx="1">
                  <c:v>1</c:v>
                </c:pt>
                <c:pt idx="2">
                  <c:v>1</c:v>
                </c:pt>
                <c:pt idx="3">
                  <c:v>5</c:v>
                </c:pt>
                <c:pt idx="4">
                  <c:v>2</c:v>
                </c:pt>
                <c:pt idx="5">
                  <c:v>4</c:v>
                </c:pt>
                <c:pt idx="6">
                  <c:v>2</c:v>
                </c:pt>
                <c:pt idx="7">
                  <c:v>3</c:v>
                </c:pt>
                <c:pt idx="8">
                  <c:v>5</c:v>
                </c:pt>
                <c:pt idx="9">
                  <c:v>4</c:v>
                </c:pt>
              </c:numCache>
            </c:numRef>
          </c:val>
          <c:smooth val="0"/>
          <c:extLst>
            <c:ext xmlns:c16="http://schemas.microsoft.com/office/drawing/2014/chart" uri="{C3380CC4-5D6E-409C-BE32-E72D297353CC}">
              <c16:uniqueId val="{00000001-8E0B-496B-AC9B-DDDCA433AB80}"/>
            </c:ext>
          </c:extLst>
        </c:ser>
        <c:dLbls>
          <c:dLblPos val="t"/>
          <c:showLegendKey val="0"/>
          <c:showVal val="1"/>
          <c:showCatName val="0"/>
          <c:showSerName val="0"/>
          <c:showPercent val="0"/>
          <c:showBubbleSize val="0"/>
        </c:dLbls>
        <c:smooth val="0"/>
        <c:axId val="967525856"/>
        <c:axId val="967526336"/>
      </c:lineChart>
      <c:catAx>
        <c:axId val="967525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7526336"/>
        <c:crosses val="autoZero"/>
        <c:auto val="1"/>
        <c:lblAlgn val="ctr"/>
        <c:lblOffset val="100"/>
        <c:noMultiLvlLbl val="0"/>
      </c:catAx>
      <c:valAx>
        <c:axId val="967526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7525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[pivot_tables_dashboards.xlsx]Customer Orders!PivotTable10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Delays by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Orders'!$P$26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Orders'!$O$27:$O$31</c:f>
              <c:strCache>
                <c:ptCount val="4"/>
                <c:pt idx="0">
                  <c:v>Flipkart</c:v>
                </c:pt>
                <c:pt idx="1">
                  <c:v>HUL</c:v>
                </c:pt>
                <c:pt idx="2">
                  <c:v>Reliance</c:v>
                </c:pt>
                <c:pt idx="3">
                  <c:v>Tata</c:v>
                </c:pt>
              </c:strCache>
            </c:strRef>
          </c:cat>
          <c:val>
            <c:numRef>
              <c:f>'Customer Orders'!$P$27:$P$31</c:f>
              <c:numCache>
                <c:formatCode>General</c:formatCode>
                <c:ptCount val="4"/>
                <c:pt idx="0">
                  <c:v>3</c:v>
                </c:pt>
                <c:pt idx="1">
                  <c:v>6</c:v>
                </c:pt>
                <c:pt idx="2">
                  <c:v>1</c:v>
                </c:pt>
                <c:pt idx="3">
                  <c:v>3</c:v>
                </c:pt>
              </c:numCache>
            </c:numRef>
          </c:val>
          <c:extLst>
            <c:ext xmlns:c16="http://schemas.microsoft.com/office/drawing/2014/chart" uri="{C3380CC4-5D6E-409C-BE32-E72D297353CC}">
              <c16:uniqueId val="{00000000-6ADF-4C1C-9896-12CBB888D198}"/>
            </c:ext>
          </c:extLst>
        </c:ser>
        <c:dLbls>
          <c:dLblPos val="outEnd"/>
          <c:showLegendKey val="0"/>
          <c:showVal val="1"/>
          <c:showCatName val="0"/>
          <c:showSerName val="0"/>
          <c:showPercent val="0"/>
          <c:showBubbleSize val="0"/>
        </c:dLbls>
        <c:gapWidth val="182"/>
        <c:axId val="967561856"/>
        <c:axId val="967550816"/>
      </c:barChart>
      <c:catAx>
        <c:axId val="967561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7550816"/>
        <c:crosses val="autoZero"/>
        <c:auto val="1"/>
        <c:lblAlgn val="ctr"/>
        <c:lblOffset val="100"/>
        <c:noMultiLvlLbl val="0"/>
      </c:catAx>
      <c:valAx>
        <c:axId val="9675508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7561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21</xdr:col>
      <xdr:colOff>0</xdr:colOff>
      <xdr:row>2</xdr:row>
      <xdr:rowOff>22860</xdr:rowOff>
    </xdr:from>
    <xdr:to>
      <xdr:col>28</xdr:col>
      <xdr:colOff>716280</xdr:colOff>
      <xdr:row>17</xdr:row>
      <xdr:rowOff>80010</xdr:rowOff>
    </xdr:to>
    <xdr:graphicFrame macro="">
      <xdr:nvGraphicFramePr>
        <xdr:cNvPr id="3" name="Chart 2">
          <a:extLst>
            <a:ext uri="{FF2B5EF4-FFF2-40B4-BE49-F238E27FC236}">
              <a16:creationId xmlns:a16="http://schemas.microsoft.com/office/drawing/2014/main" id="{A93EB2E8-6626-52C8-CBA5-52C56ADB6F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121920</xdr:colOff>
      <xdr:row>2</xdr:row>
      <xdr:rowOff>0</xdr:rowOff>
    </xdr:from>
    <xdr:to>
      <xdr:col>35</xdr:col>
      <xdr:colOff>7620</xdr:colOff>
      <xdr:row>17</xdr:row>
      <xdr:rowOff>45720</xdr:rowOff>
    </xdr:to>
    <xdr:graphicFrame macro="">
      <xdr:nvGraphicFramePr>
        <xdr:cNvPr id="4" name="Chart 3">
          <a:extLst>
            <a:ext uri="{FF2B5EF4-FFF2-40B4-BE49-F238E27FC236}">
              <a16:creationId xmlns:a16="http://schemas.microsoft.com/office/drawing/2014/main" id="{4DD5494A-4DFC-47E6-D528-F2ACEB9C62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28</xdr:col>
      <xdr:colOff>0</xdr:colOff>
      <xdr:row>19</xdr:row>
      <xdr:rowOff>0</xdr:rowOff>
    </xdr:from>
    <xdr:to>
      <xdr:col>30</xdr:col>
      <xdr:colOff>381000</xdr:colOff>
      <xdr:row>26</xdr:row>
      <xdr:rowOff>137160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51C093A3-037E-4AD7-A56E-3E4E7610ACC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9408140" y="3619500"/>
              <a:ext cx="1828800" cy="1417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0</xdr:colOff>
      <xdr:row>19</xdr:row>
      <xdr:rowOff>0</xdr:rowOff>
    </xdr:from>
    <xdr:to>
      <xdr:col>33</xdr:col>
      <xdr:colOff>457200</xdr:colOff>
      <xdr:row>28</xdr:row>
      <xdr:rowOff>91440</xdr:rowOff>
    </xdr:to>
    <mc:AlternateContent xmlns:mc="http://schemas.openxmlformats.org/markup-compatibility/2006" xmlns:a14="http://schemas.microsoft.com/office/drawing/2010/main">
      <mc:Choice Requires="a14">
        <xdr:graphicFrame macro="">
          <xdr:nvGraphicFramePr>
            <xdr:cNvPr id="8" name="Product">
              <a:extLst>
                <a:ext uri="{FF2B5EF4-FFF2-40B4-BE49-F238E27FC236}">
                  <a16:creationId xmlns:a16="http://schemas.microsoft.com/office/drawing/2014/main" id="{E2A1469F-3495-4932-BE7E-9654ED92D68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1564600" y="3619500"/>
              <a:ext cx="1874520" cy="1737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18</xdr:col>
      <xdr:colOff>830580</xdr:colOff>
      <xdr:row>1</xdr:row>
      <xdr:rowOff>60960</xdr:rowOff>
    </xdr:from>
    <xdr:to>
      <xdr:col>22</xdr:col>
      <xdr:colOff>114300</xdr:colOff>
      <xdr:row>15</xdr:row>
      <xdr:rowOff>83820</xdr:rowOff>
    </xdr:to>
    <xdr:graphicFrame macro="">
      <xdr:nvGraphicFramePr>
        <xdr:cNvPr id="2" name="Chart 1">
          <a:extLst>
            <a:ext uri="{FF2B5EF4-FFF2-40B4-BE49-F238E27FC236}">
              <a16:creationId xmlns:a16="http://schemas.microsoft.com/office/drawing/2014/main" id="{93B76534-7BC6-B122-5198-66B0DFCE14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205740</xdr:colOff>
      <xdr:row>1</xdr:row>
      <xdr:rowOff>68580</xdr:rowOff>
    </xdr:from>
    <xdr:to>
      <xdr:col>33</xdr:col>
      <xdr:colOff>30480</xdr:colOff>
      <xdr:row>15</xdr:row>
      <xdr:rowOff>68580</xdr:rowOff>
    </xdr:to>
    <xdr:graphicFrame macro="">
      <xdr:nvGraphicFramePr>
        <xdr:cNvPr id="5" name="Chart 4">
          <a:extLst>
            <a:ext uri="{FF2B5EF4-FFF2-40B4-BE49-F238E27FC236}">
              <a16:creationId xmlns:a16="http://schemas.microsoft.com/office/drawing/2014/main" id="{2F95CE6A-FE35-851B-0186-EFD0C26CB3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24</xdr:col>
      <xdr:colOff>137160</xdr:colOff>
      <xdr:row>17</xdr:row>
      <xdr:rowOff>175260</xdr:rowOff>
    </xdr:from>
    <xdr:to>
      <xdr:col>32</xdr:col>
      <xdr:colOff>228600</xdr:colOff>
      <xdr:row>23</xdr:row>
      <xdr:rowOff>175260</xdr:rowOff>
    </xdr:to>
    <mc:AlternateContent xmlns:mc="http://schemas.openxmlformats.org/markup-compatibility/2006" xmlns:tsle="http://schemas.microsoft.com/office/drawing/2012/timeslicer">
      <mc:Choice Requires="tsle">
        <xdr:graphicFrame macro="">
          <xdr:nvGraphicFramePr>
            <xdr:cNvPr id="6" name="Join Date">
              <a:extLst>
                <a:ext uri="{FF2B5EF4-FFF2-40B4-BE49-F238E27FC236}">
                  <a16:creationId xmlns:a16="http://schemas.microsoft.com/office/drawing/2014/main" id="{8D778700-A589-4977-687F-D2022F81867F}"/>
                </a:ext>
              </a:extLst>
            </xdr:cNvPr>
            <xdr:cNvGraphicFramePr/>
          </xdr:nvGraphicFramePr>
          <xdr:xfrm>
            <a:off x="0" y="0"/>
            <a:ext cx="0" cy="0"/>
          </xdr:xfrm>
          <a:graphic>
            <a:graphicData uri="http://schemas.microsoft.com/office/drawing/2012/timeslicer">
              <tsle:timeslicer name="Join Date"/>
            </a:graphicData>
          </a:graphic>
        </xdr:graphicFrame>
      </mc:Choice>
      <mc:Fallback xmlns="">
        <xdr:sp macro="" textlink="">
          <xdr:nvSpPr>
            <xdr:cNvPr id="0" name=""/>
            <xdr:cNvSpPr>
              <a:spLocks noTextEdit="1"/>
            </xdr:cNvSpPr>
          </xdr:nvSpPr>
          <xdr:spPr>
            <a:xfrm>
              <a:off x="22372320" y="3429000"/>
              <a:ext cx="3360420" cy="12268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15</xdr:col>
      <xdr:colOff>723900</xdr:colOff>
      <xdr:row>2</xdr:row>
      <xdr:rowOff>171450</xdr:rowOff>
    </xdr:from>
    <xdr:to>
      <xdr:col>23</xdr:col>
      <xdr:colOff>289560</xdr:colOff>
      <xdr:row>17</xdr:row>
      <xdr:rowOff>171450</xdr:rowOff>
    </xdr:to>
    <xdr:graphicFrame macro="">
      <xdr:nvGraphicFramePr>
        <xdr:cNvPr id="2" name="Chart 1">
          <a:extLst>
            <a:ext uri="{FF2B5EF4-FFF2-40B4-BE49-F238E27FC236}">
              <a16:creationId xmlns:a16="http://schemas.microsoft.com/office/drawing/2014/main" id="{6B680D49-45C7-5556-D041-FB0E2BD745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7620</xdr:colOff>
      <xdr:row>18</xdr:row>
      <xdr:rowOff>167640</xdr:rowOff>
    </xdr:from>
    <xdr:to>
      <xdr:col>31</xdr:col>
      <xdr:colOff>556260</xdr:colOff>
      <xdr:row>40</xdr:row>
      <xdr:rowOff>15240</xdr:rowOff>
    </xdr:to>
    <xdr:graphicFrame macro="">
      <xdr:nvGraphicFramePr>
        <xdr:cNvPr id="3" name="Chart 2">
          <a:extLst>
            <a:ext uri="{FF2B5EF4-FFF2-40B4-BE49-F238E27FC236}">
              <a16:creationId xmlns:a16="http://schemas.microsoft.com/office/drawing/2014/main" id="{200F3648-081B-2B6D-9120-3BA3EA493D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23</xdr:col>
      <xdr:colOff>350520</xdr:colOff>
      <xdr:row>3</xdr:row>
      <xdr:rowOff>0</xdr:rowOff>
    </xdr:from>
    <xdr:to>
      <xdr:col>26</xdr:col>
      <xdr:colOff>487680</xdr:colOff>
      <xdr:row>9</xdr:row>
      <xdr:rowOff>152399</xdr:rowOff>
    </xdr:to>
    <mc:AlternateContent xmlns:mc="http://schemas.openxmlformats.org/markup-compatibility/2006" xmlns:a14="http://schemas.microsoft.com/office/drawing/2010/main">
      <mc:Choice Requires="a14">
        <xdr:graphicFrame macro="">
          <xdr:nvGraphicFramePr>
            <xdr:cNvPr id="4" name="Warehouse">
              <a:extLst>
                <a:ext uri="{FF2B5EF4-FFF2-40B4-BE49-F238E27FC236}">
                  <a16:creationId xmlns:a16="http://schemas.microsoft.com/office/drawing/2014/main" id="{3130297A-D70B-BF07-6E43-A3A1FAF4A597}"/>
                </a:ext>
              </a:extLst>
            </xdr:cNvPr>
            <xdr:cNvGraphicFramePr/>
          </xdr:nvGraphicFramePr>
          <xdr:xfrm>
            <a:off x="0" y="0"/>
            <a:ext cx="0" cy="0"/>
          </xdr:xfrm>
          <a:graphic>
            <a:graphicData uri="http://schemas.microsoft.com/office/drawing/2010/slicer">
              <sle:slicer xmlns:sle="http://schemas.microsoft.com/office/drawing/2010/slicer" name="Warehouse"/>
            </a:graphicData>
          </a:graphic>
        </xdr:graphicFrame>
      </mc:Choice>
      <mc:Fallback xmlns="">
        <xdr:sp macro="" textlink="">
          <xdr:nvSpPr>
            <xdr:cNvPr id="0" name=""/>
            <xdr:cNvSpPr>
              <a:spLocks noTextEdit="1"/>
            </xdr:cNvSpPr>
          </xdr:nvSpPr>
          <xdr:spPr>
            <a:xfrm>
              <a:off x="25405080" y="662940"/>
              <a:ext cx="1965960" cy="1264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16</xdr:col>
      <xdr:colOff>0</xdr:colOff>
      <xdr:row>1</xdr:row>
      <xdr:rowOff>167640</xdr:rowOff>
    </xdr:from>
    <xdr:to>
      <xdr:col>21</xdr:col>
      <xdr:colOff>1143000</xdr:colOff>
      <xdr:row>17</xdr:row>
      <xdr:rowOff>144780</xdr:rowOff>
    </xdr:to>
    <xdr:graphicFrame macro="">
      <xdr:nvGraphicFramePr>
        <xdr:cNvPr id="2" name="Chart 1">
          <a:extLst>
            <a:ext uri="{FF2B5EF4-FFF2-40B4-BE49-F238E27FC236}">
              <a16:creationId xmlns:a16="http://schemas.microsoft.com/office/drawing/2014/main" id="{C06B9917-75BF-8080-CD90-9473ADE556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21</xdr:col>
      <xdr:colOff>182880</xdr:colOff>
      <xdr:row>18</xdr:row>
      <xdr:rowOff>15240</xdr:rowOff>
    </xdr:from>
    <xdr:to>
      <xdr:col>24</xdr:col>
      <xdr:colOff>335280</xdr:colOff>
      <xdr:row>24</xdr:row>
      <xdr:rowOff>175260</xdr:rowOff>
    </xdr:to>
    <mc:AlternateContent xmlns:mc="http://schemas.openxmlformats.org/markup-compatibility/2006">
      <mc:Choice xmlns:tsle="http://schemas.microsoft.com/office/drawing/2012/timeslicer" Requires="tsle">
        <xdr:graphicFrame macro="">
          <xdr:nvGraphicFramePr>
            <xdr:cNvPr id="3" name="Date">
              <a:extLst>
                <a:ext uri="{FF2B5EF4-FFF2-40B4-BE49-F238E27FC236}">
                  <a16:creationId xmlns:a16="http://schemas.microsoft.com/office/drawing/2014/main" id="{5954FB1E-F120-A6F8-8078-19855699EB20}"/>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22722840" y="3535680"/>
              <a:ext cx="377190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18</xdr:col>
      <xdr:colOff>30480</xdr:colOff>
      <xdr:row>2</xdr:row>
      <xdr:rowOff>217170</xdr:rowOff>
    </xdr:from>
    <xdr:to>
      <xdr:col>25</xdr:col>
      <xdr:colOff>335280</xdr:colOff>
      <xdr:row>17</xdr:row>
      <xdr:rowOff>125730</xdr:rowOff>
    </xdr:to>
    <xdr:graphicFrame macro="">
      <xdr:nvGraphicFramePr>
        <xdr:cNvPr id="2" name="Chart 1">
          <a:extLst>
            <a:ext uri="{FF2B5EF4-FFF2-40B4-BE49-F238E27FC236}">
              <a16:creationId xmlns:a16="http://schemas.microsoft.com/office/drawing/2014/main" id="{E4BEC13E-0B61-C7DA-D178-337903336D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426720</xdr:colOff>
      <xdr:row>2</xdr:row>
      <xdr:rowOff>217170</xdr:rowOff>
    </xdr:from>
    <xdr:to>
      <xdr:col>32</xdr:col>
      <xdr:colOff>525780</xdr:colOff>
      <xdr:row>17</xdr:row>
      <xdr:rowOff>106680</xdr:rowOff>
    </xdr:to>
    <xdr:graphicFrame macro="">
      <xdr:nvGraphicFramePr>
        <xdr:cNvPr id="3" name="Chart 2">
          <a:extLst>
            <a:ext uri="{FF2B5EF4-FFF2-40B4-BE49-F238E27FC236}">
              <a16:creationId xmlns:a16="http://schemas.microsoft.com/office/drawing/2014/main" id="{15BAC982-FAEF-5457-A928-1CA832DDAE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24</xdr:col>
      <xdr:colOff>457200</xdr:colOff>
      <xdr:row>19</xdr:row>
      <xdr:rowOff>7621</xdr:rowOff>
    </xdr:from>
    <xdr:to>
      <xdr:col>27</xdr:col>
      <xdr:colOff>457200</xdr:colOff>
      <xdr:row>26</xdr:row>
      <xdr:rowOff>114300</xdr:rowOff>
    </xdr:to>
    <mc:AlternateContent xmlns:mc="http://schemas.openxmlformats.org/markup-compatibility/2006" xmlns:a14="http://schemas.microsoft.com/office/drawing/2010/main">
      <mc:Choice Requires="a14">
        <xdr:graphicFrame macro="">
          <xdr:nvGraphicFramePr>
            <xdr:cNvPr id="4" name="Product 1">
              <a:extLst>
                <a:ext uri="{FF2B5EF4-FFF2-40B4-BE49-F238E27FC236}">
                  <a16:creationId xmlns:a16="http://schemas.microsoft.com/office/drawing/2014/main" id="{B2F75A36-432C-A1A8-F399-DD0C98FC3F21}"/>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25199340" y="3688081"/>
              <a:ext cx="1828800" cy="14782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373380</xdr:colOff>
      <xdr:row>18</xdr:row>
      <xdr:rowOff>175260</xdr:rowOff>
    </xdr:from>
    <xdr:to>
      <xdr:col>24</xdr:col>
      <xdr:colOff>373380</xdr:colOff>
      <xdr:row>23</xdr:row>
      <xdr:rowOff>144779</xdr:rowOff>
    </xdr:to>
    <mc:AlternateContent xmlns:mc="http://schemas.openxmlformats.org/markup-compatibility/2006" xmlns:a14="http://schemas.microsoft.com/office/drawing/2010/main">
      <mc:Choice Requires="a14">
        <xdr:graphicFrame macro="">
          <xdr:nvGraphicFramePr>
            <xdr:cNvPr id="5" name="Delivery Status">
              <a:extLst>
                <a:ext uri="{FF2B5EF4-FFF2-40B4-BE49-F238E27FC236}">
                  <a16:creationId xmlns:a16="http://schemas.microsoft.com/office/drawing/2014/main" id="{9C2E415A-33D1-AD58-02BD-61996BC15152}"/>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23286720" y="3672840"/>
              <a:ext cx="1828800" cy="929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kta" refreshedDate="45883.022274537034" createdVersion="8" refreshedVersion="8" minRefreshableVersion="3" recordCount="30" xr:uid="{38B8BD28-7144-4C4A-A0B6-B809B5D5602F}">
  <cacheSource type="worksheet">
    <worksheetSource name="Table2"/>
  </cacheSource>
  <cacheFields count="10">
    <cacheField name="Date" numFmtId="14">
      <sharedItems containsSemiMixedTypes="0" containsNonDate="0" containsDate="1" containsString="0" minDate="2023-01-26T00:00:00" maxDate="2023-12-23T00:00:00" count="27">
        <d v="2023-04-03T00:00:00"/>
        <d v="2023-07-02T00:00:00"/>
        <d v="2023-12-07T00:00:00"/>
        <d v="2023-03-13T00:00:00"/>
        <d v="2023-08-11T00:00:00"/>
        <d v="2023-11-19T00:00:00"/>
        <d v="2023-04-08T00:00:00"/>
        <d v="2023-03-23T00:00:00"/>
        <d v="2023-08-01T00:00:00"/>
        <d v="2023-06-29T00:00:00"/>
        <d v="2023-02-12T00:00:00"/>
        <d v="2023-08-17T00:00:00"/>
        <d v="2023-07-09T00:00:00"/>
        <d v="2023-01-28T00:00:00"/>
        <d v="2023-02-15T00:00:00"/>
        <d v="2023-05-03T00:00:00"/>
        <d v="2023-10-03T00:00:00"/>
        <d v="2023-09-01T00:00:00"/>
        <d v="2023-04-01T00:00:00"/>
        <d v="2023-09-08T00:00:00"/>
        <d v="2023-04-30T00:00:00"/>
        <d v="2023-01-26T00:00:00"/>
        <d v="2023-02-06T00:00:00"/>
        <d v="2023-09-09T00:00:00"/>
        <d v="2023-02-13T00:00:00"/>
        <d v="2023-12-22T00:00:00"/>
        <d v="2023-11-17T00:00:00"/>
      </sharedItems>
      <fieldGroup par="9"/>
    </cacheField>
    <cacheField name="Region" numFmtId="0">
      <sharedItems count="4">
        <s v="West"/>
        <s v="South"/>
        <s v="North"/>
        <s v="East"/>
      </sharedItems>
    </cacheField>
    <cacheField name="Salesperson" numFmtId="0">
      <sharedItems count="5">
        <s v="Bob"/>
        <s v="Alice"/>
        <s v="Eva"/>
        <s v="David"/>
        <s v="Charlie"/>
      </sharedItems>
    </cacheField>
    <cacheField name="Product" numFmtId="0">
      <sharedItems count="5">
        <s v="Tablet"/>
        <s v="Phone"/>
        <s v="Keyboard"/>
        <s v="Laptop"/>
        <s v="Monitor"/>
      </sharedItems>
    </cacheField>
    <cacheField name="Units Sold" numFmtId="0">
      <sharedItems containsSemiMixedTypes="0" containsString="0" containsNumber="1" containsInteger="1" minValue="1" maxValue="20"/>
    </cacheField>
    <cacheField name="Unit Price" numFmtId="0">
      <sharedItems containsSemiMixedTypes="0" containsString="0" containsNumber="1" containsInteger="1" minValue="164" maxValue="995"/>
    </cacheField>
    <cacheField name="Revenue" numFmtId="0">
      <sharedItems containsSemiMixedTypes="0" containsString="0" containsNumber="1" containsInteger="1" minValue="970" maxValue="19500"/>
    </cacheField>
    <cacheField name="Profit" numFmtId="0">
      <sharedItems containsSemiMixedTypes="0" containsString="0" containsNumber="1" minValue="194" maxValue="3900"/>
    </cacheField>
    <cacheField name="Days (Date)" numFmtId="0" databaseField="0">
      <fieldGroup base="0">
        <rangePr groupBy="days" startDate="2023-01-26T00:00:00" endDate="2023-12-23T00:00:00"/>
        <groupItems count="368">
          <s v="&lt;26-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3-12-2023"/>
        </groupItems>
      </fieldGroup>
    </cacheField>
    <cacheField name="Months (Date)" numFmtId="0" databaseField="0">
      <fieldGroup base="0">
        <rangePr groupBy="months" startDate="2023-01-26T00:00:00" endDate="2023-12-23T00:00:00"/>
        <groupItems count="14">
          <s v="&lt;26-01-2023"/>
          <s v="Jan"/>
          <s v="Feb"/>
          <s v="Mar"/>
          <s v="Apr"/>
          <s v="May"/>
          <s v="Jun"/>
          <s v="Jul"/>
          <s v="Aug"/>
          <s v="Sep"/>
          <s v="Oct"/>
          <s v="Nov"/>
          <s v="Dec"/>
          <s v="&gt;23-12-2023"/>
        </groupItems>
      </fieldGroup>
    </cacheField>
  </cacheFields>
  <extLst>
    <ext xmlns:x14="http://schemas.microsoft.com/office/spreadsheetml/2009/9/main" uri="{725AE2AE-9491-48be-B2B4-4EB974FC3084}">
      <x14:pivotCacheDefinition pivotCacheId="70531586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kta" refreshedDate="45883.033687037037" createdVersion="8" refreshedVersion="8" minRefreshableVersion="3" recordCount="30" xr:uid="{77346DE3-E523-44F4-A6DF-FDE4796FE54A}">
  <cacheSource type="worksheet">
    <worksheetSource name="Table3"/>
  </cacheSource>
  <cacheFields count="11">
    <cacheField name="Employee ID" numFmtId="0">
      <sharedItems count="30">
        <s v="E1000"/>
        <s v="E1001"/>
        <s v="E1002"/>
        <s v="E1003"/>
        <s v="E1004"/>
        <s v="E1005"/>
        <s v="E1006"/>
        <s v="E1007"/>
        <s v="E1008"/>
        <s v="E1009"/>
        <s v="E1010"/>
        <s v="E1011"/>
        <s v="E1012"/>
        <s v="E1013"/>
        <s v="E1014"/>
        <s v="E1015"/>
        <s v="E1016"/>
        <s v="E1017"/>
        <s v="E1018"/>
        <s v="E1019"/>
        <s v="E1020"/>
        <s v="E1021"/>
        <s v="E1022"/>
        <s v="E1023"/>
        <s v="E1024"/>
        <s v="E1025"/>
        <s v="E1026"/>
        <s v="E1027"/>
        <s v="E1028"/>
        <s v="E1029"/>
      </sharedItems>
    </cacheField>
    <cacheField name="Department" numFmtId="0">
      <sharedItems count="5">
        <s v="HR"/>
        <s v="IT"/>
        <s v="Finance"/>
        <s v="Sales"/>
        <s v="Support"/>
      </sharedItems>
    </cacheField>
    <cacheField name="Gender" numFmtId="0">
      <sharedItems count="2">
        <s v="Female"/>
        <s v="Male"/>
      </sharedItems>
    </cacheField>
    <cacheField name="Age" numFmtId="0">
      <sharedItems containsSemiMixedTypes="0" containsString="0" containsNumber="1" containsInteger="1" minValue="22" maxValue="49"/>
    </cacheField>
    <cacheField name="Join Date" numFmtId="14">
      <sharedItems containsSemiMixedTypes="0" containsNonDate="0" containsDate="1" containsString="0" minDate="2020-01-22T00:00:00" maxDate="2023-12-20T00:00:00" count="30">
        <d v="2023-01-30T00:00:00"/>
        <d v="2023-02-04T00:00:00"/>
        <d v="2021-12-04T00:00:00"/>
        <d v="2021-05-04T00:00:00"/>
        <d v="2022-03-28T00:00:00"/>
        <d v="2023-03-15T00:00:00"/>
        <d v="2023-03-18T00:00:00"/>
        <d v="2020-02-06T00:00:00"/>
        <d v="2021-07-18T00:00:00"/>
        <d v="2020-11-25T00:00:00"/>
        <d v="2023-12-19T00:00:00"/>
        <d v="2023-02-03T00:00:00"/>
        <d v="2021-01-31T00:00:00"/>
        <d v="2023-07-12T00:00:00"/>
        <d v="2021-04-13T00:00:00"/>
        <d v="2020-02-21T00:00:00"/>
        <d v="2022-08-03T00:00:00"/>
        <d v="2021-08-28T00:00:00"/>
        <d v="2020-01-22T00:00:00"/>
        <d v="2020-10-25T00:00:00"/>
        <d v="2022-03-04T00:00:00"/>
        <d v="2021-09-25T00:00:00"/>
        <d v="2022-12-03T00:00:00"/>
        <d v="2020-02-23T00:00:00"/>
        <d v="2023-10-09T00:00:00"/>
        <d v="2023-08-09T00:00:00"/>
        <d v="2022-02-09T00:00:00"/>
        <d v="2023-09-10T00:00:00"/>
        <d v="2022-06-27T00:00:00"/>
        <d v="2023-10-11T00:00:00"/>
      </sharedItems>
    </cacheField>
    <cacheField name="Exit Date" numFmtId="14">
      <sharedItems containsNonDate="0" containsDate="1" containsString="0" containsBlank="1" minDate="2021-05-02T00:00:00" maxDate="2026-02-02T00:00:00" count="21">
        <d v="2024-05-30T00:00:00"/>
        <d v="2024-11-29T00:00:00"/>
        <m/>
        <d v="2023-09-07T00:00:00"/>
        <d v="2024-11-18T00:00:00"/>
        <d v="2025-01-11T00:00:00"/>
        <d v="2023-04-26T00:00:00"/>
        <d v="2021-11-20T00:00:00"/>
        <d v="2025-08-18T00:00:00"/>
        <d v="2024-07-18T00:00:00"/>
        <d v="2021-05-02T00:00:00"/>
        <d v="2021-10-08T00:00:00"/>
        <d v="2023-01-23T00:00:00"/>
        <d v="2022-01-02T00:00:00"/>
        <d v="2021-12-15T00:00:00"/>
        <d v="2023-12-04T00:00:00"/>
        <d v="2024-06-06T00:00:00"/>
        <d v="2024-03-15T00:00:00"/>
        <d v="2025-03-02T00:00:00"/>
        <d v="2023-12-29T00:00:00"/>
        <d v="2026-02-01T00:00:00"/>
      </sharedItems>
      <fieldGroup par="10"/>
    </cacheField>
    <cacheField name="Status" numFmtId="0">
      <sharedItems count="2">
        <s v="Resigned"/>
        <s v="Active"/>
      </sharedItems>
    </cacheField>
    <cacheField name="Salary" numFmtId="0">
      <sharedItems containsSemiMixedTypes="0" containsString="0" containsNumber="1" containsInteger="1" minValue="30083" maxValue="107731"/>
    </cacheField>
    <cacheField name="Months (Exit Date)" numFmtId="0" databaseField="0">
      <fieldGroup base="5">
        <rangePr groupBy="months" startDate="2021-05-02T00:00:00" endDate="2026-02-02T00:00:00"/>
        <groupItems count="14">
          <s v="&lt;02-05-2021"/>
          <s v="Jan"/>
          <s v="Feb"/>
          <s v="Mar"/>
          <s v="Apr"/>
          <s v="May"/>
          <s v="Jun"/>
          <s v="Jul"/>
          <s v="Aug"/>
          <s v="Sep"/>
          <s v="Oct"/>
          <s v="Nov"/>
          <s v="Dec"/>
          <s v="&gt;02-02-2026"/>
        </groupItems>
      </fieldGroup>
    </cacheField>
    <cacheField name="Quarters (Exit Date)" numFmtId="0" databaseField="0">
      <fieldGroup base="5">
        <rangePr groupBy="quarters" startDate="2021-05-02T00:00:00" endDate="2026-02-02T00:00:00"/>
        <groupItems count="6">
          <s v="&lt;02-05-2021"/>
          <s v="Qtr1"/>
          <s v="Qtr2"/>
          <s v="Qtr3"/>
          <s v="Qtr4"/>
          <s v="&gt;02-02-2026"/>
        </groupItems>
      </fieldGroup>
    </cacheField>
    <cacheField name="Years (Exit Date)" numFmtId="0" databaseField="0">
      <fieldGroup base="5">
        <rangePr groupBy="years" startDate="2021-05-02T00:00:00" endDate="2026-02-02T00:00:00"/>
        <groupItems count="8">
          <s v="&lt;02-05-2021"/>
          <s v="2021"/>
          <s v="2022"/>
          <s v="2023"/>
          <s v="2024"/>
          <s v="2025"/>
          <s v="2026"/>
          <s v="&gt;02-02-2026"/>
        </groupItems>
      </fieldGroup>
    </cacheField>
  </cacheFields>
  <extLst>
    <ext xmlns:x14="http://schemas.microsoft.com/office/spreadsheetml/2009/9/main" uri="{725AE2AE-9491-48be-B2B4-4EB974FC3084}">
      <x14:pivotCacheDefinition pivotCacheId="190216749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kta" refreshedDate="45883.087222222224" createdVersion="8" refreshedVersion="8" minRefreshableVersion="3" recordCount="30" xr:uid="{FBB71D8F-7E8B-4E31-8925-D9BC01CACD79}">
  <cacheSource type="worksheet">
    <worksheetSource name="Table4"/>
  </cacheSource>
  <cacheFields count="10">
    <cacheField name="Product ID" numFmtId="0">
      <sharedItems count="30">
        <s v="P100"/>
        <s v="P101"/>
        <s v="P102"/>
        <s v="P103"/>
        <s v="P104"/>
        <s v="P105"/>
        <s v="P106"/>
        <s v="P107"/>
        <s v="P108"/>
        <s v="P109"/>
        <s v="P110"/>
        <s v="P111"/>
        <s v="P112"/>
        <s v="P113"/>
        <s v="P114"/>
        <s v="P115"/>
        <s v="P116"/>
        <s v="P117"/>
        <s v="P118"/>
        <s v="P119"/>
        <s v="P120"/>
        <s v="P121"/>
        <s v="P122"/>
        <s v="P123"/>
        <s v="P124"/>
        <s v="P125"/>
        <s v="P126"/>
        <s v="P127"/>
        <s v="P128"/>
        <s v="P129"/>
      </sharedItems>
    </cacheField>
    <cacheField name="Product Category" numFmtId="0">
      <sharedItems count="3">
        <s v="Electronics"/>
        <s v="Furniture"/>
        <s v="Stationery"/>
      </sharedItems>
    </cacheField>
    <cacheField name="Warehouse" numFmtId="0">
      <sharedItems count="3">
        <s v="W1"/>
        <s v="W2"/>
        <s v="W3"/>
      </sharedItems>
    </cacheField>
    <cacheField name="Opening Stock" numFmtId="0">
      <sharedItems containsSemiMixedTypes="0" containsString="0" containsNumber="1" containsInteger="1" minValue="54" maxValue="196"/>
    </cacheField>
    <cacheField name="Quantity Sold" numFmtId="0">
      <sharedItems containsSemiMixedTypes="0" containsString="0" containsNumber="1" containsInteger="1" minValue="10" maxValue="80"/>
    </cacheField>
    <cacheField name="Quantity Purchased" numFmtId="0">
      <sharedItems containsSemiMixedTypes="0" containsString="0" containsNumber="1" containsInteger="1" minValue="21" maxValue="91"/>
    </cacheField>
    <cacheField name="Date" numFmtId="14">
      <sharedItems containsSemiMixedTypes="0" containsNonDate="0" containsDate="1" containsString="0" minDate="2023-01-11T00:00:00" maxDate="2023-12-27T00:00:00" count="30">
        <d v="2023-08-17T00:00:00"/>
        <d v="2023-09-20T00:00:00"/>
        <d v="2023-02-26T00:00:00"/>
        <d v="2023-10-15T00:00:00"/>
        <d v="2023-12-18T00:00:00"/>
        <d v="2023-12-09T00:00:00"/>
        <d v="2023-09-22T00:00:00"/>
        <d v="2023-10-25T00:00:00"/>
        <d v="2023-06-17T00:00:00"/>
        <d v="2023-02-15T00:00:00"/>
        <d v="2023-01-21T00:00:00"/>
        <d v="2023-01-15T00:00:00"/>
        <d v="2023-04-25T00:00:00"/>
        <d v="2023-08-15T00:00:00"/>
        <d v="2023-04-10T00:00:00"/>
        <d v="2023-10-31T00:00:00"/>
        <d v="2023-02-21T00:00:00"/>
        <d v="2023-03-18T00:00:00"/>
        <d v="2023-03-19T00:00:00"/>
        <d v="2023-08-28T00:00:00"/>
        <d v="2023-05-06T00:00:00"/>
        <d v="2023-11-17T00:00:00"/>
        <d v="2023-06-23T00:00:00"/>
        <d v="2023-12-26T00:00:00"/>
        <d v="2023-03-02T00:00:00"/>
        <d v="2023-07-16T00:00:00"/>
        <d v="2023-01-11T00:00:00"/>
        <d v="2023-12-01T00:00:00"/>
        <d v="2023-08-09T00:00:00"/>
        <d v="2023-01-18T00:00:00"/>
      </sharedItems>
      <fieldGroup par="8"/>
    </cacheField>
    <cacheField name="Closing Stock" numFmtId="0">
      <sharedItems containsSemiMixedTypes="0" containsString="0" containsNumber="1" containsInteger="1" minValue="0" maxValue="239"/>
    </cacheField>
    <cacheField name="Days (Date)" numFmtId="0" databaseField="0">
      <fieldGroup base="6">
        <rangePr groupBy="days" startDate="2023-01-11T00:00:00" endDate="2023-12-27T00:00:00" groupInterval="7"/>
        <groupItems count="52">
          <s v="&lt;11-01-2023"/>
          <s v="11-01-2023 - 17-01-2023"/>
          <s v="18-01-2023 - 24-01-2023"/>
          <s v="25-01-2023 - 31-01-2023"/>
          <s v="01-02-2023 - 07-02-2023"/>
          <s v="08-02-2023 - 14-02-2023"/>
          <s v="15-02-2023 - 21-02-2023"/>
          <s v="22-02-2023 - 28-02-2023"/>
          <s v="01-03-2023 - 07-03-2023"/>
          <s v="08-03-2023 - 14-03-2023"/>
          <s v="15-03-2023 - 21-03-2023"/>
          <s v="22-03-2023 - 28-03-2023"/>
          <s v="29-03-2023 - 04-04-2023"/>
          <s v="05-04-2023 - 11-04-2023"/>
          <s v="12-04-2023 - 18-04-2023"/>
          <s v="19-04-2023 - 25-04-2023"/>
          <s v="26-04-2023 - 02-05-2023"/>
          <s v="03-05-2023 - 09-05-2023"/>
          <s v="10-05-2023 - 16-05-2023"/>
          <s v="17-05-2023 - 23-05-2023"/>
          <s v="24-05-2023 - 30-05-2023"/>
          <s v="31-05-2023 - 06-06-2023"/>
          <s v="07-06-2023 - 13-06-2023"/>
          <s v="14-06-2023 - 20-06-2023"/>
          <s v="21-06-2023 - 27-06-2023"/>
          <s v="28-06-2023 - 04-07-2023"/>
          <s v="05-07-2023 - 11-07-2023"/>
          <s v="12-07-2023 - 18-07-2023"/>
          <s v="19-07-2023 - 25-07-2023"/>
          <s v="26-07-2023 - 01-08-2023"/>
          <s v="02-08-2023 - 08-08-2023"/>
          <s v="09-08-2023 - 15-08-2023"/>
          <s v="16-08-2023 - 22-08-2023"/>
          <s v="23-08-2023 - 29-08-2023"/>
          <s v="30-08-2023 - 05-09-2023"/>
          <s v="06-09-2023 - 12-09-2023"/>
          <s v="13-09-2023 - 19-09-2023"/>
          <s v="20-09-2023 - 26-09-2023"/>
          <s v="27-09-2023 - 03-10-2023"/>
          <s v="04-10-2023 - 10-10-2023"/>
          <s v="11-10-2023 - 17-10-2023"/>
          <s v="18-10-2023 - 24-10-2023"/>
          <s v="25-10-2023 - 31-10-2023"/>
          <s v="01-11-2023 - 07-11-2023"/>
          <s v="08-11-2023 - 14-11-2023"/>
          <s v="15-11-2023 - 21-11-2023"/>
          <s v="22-11-2023 - 28-11-2023"/>
          <s v="29-11-2023 - 05-12-2023"/>
          <s v="06-12-2023 - 12-12-2023"/>
          <s v="13-12-2023 - 19-12-2023"/>
          <s v="20-12-2023 - 26-12-2023"/>
          <s v="&gt;27-12-2023"/>
        </groupItems>
      </fieldGroup>
    </cacheField>
    <cacheField name="Net movement" numFmtId="0" formula="'Quantity Purchased'-'Quantity Sold'" databaseField="0"/>
  </cacheFields>
  <extLst>
    <ext xmlns:x14="http://schemas.microsoft.com/office/spreadsheetml/2009/9/main" uri="{725AE2AE-9491-48be-B2B4-4EB974FC3084}">
      <x14:pivotCacheDefinition pivotCacheId="211791260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kta" refreshedDate="45883.899070254629" createdVersion="8" refreshedVersion="8" minRefreshableVersion="3" recordCount="30" xr:uid="{6EF4C2AD-D073-4F6A-96A8-20E783C56CDB}">
  <cacheSource type="worksheet">
    <worksheetSource name="Table5"/>
  </cacheSource>
  <cacheFields count="9">
    <cacheField name="Department" numFmtId="0">
      <sharedItems count="4">
        <s v="IT"/>
        <s v="Admin"/>
        <s v="Operations"/>
        <s v="Marketing"/>
      </sharedItems>
    </cacheField>
    <cacheField name="Expense Category" numFmtId="0">
      <sharedItems count="4">
        <s v="Consulting"/>
        <s v="Travel"/>
        <s v="Supplies"/>
        <s v="Software"/>
      </sharedItems>
    </cacheField>
    <cacheField name="Expense Amount" numFmtId="0">
      <sharedItems containsSemiMixedTypes="0" containsString="0" containsNumber="1" containsInteger="1" minValue="1399" maxValue="9223" count="30">
        <n v="3707"/>
        <n v="8341"/>
        <n v="8733"/>
        <n v="1403"/>
        <n v="5713"/>
        <n v="9223"/>
        <n v="2901"/>
        <n v="2121"/>
        <n v="4478"/>
        <n v="3137"/>
        <n v="3272"/>
        <n v="7552"/>
        <n v="1399"/>
        <n v="9009"/>
        <n v="8645"/>
        <n v="2694"/>
        <n v="3568"/>
        <n v="7045"/>
        <n v="3754"/>
        <n v="6762"/>
        <n v="5297"/>
        <n v="3504"/>
        <n v="6705"/>
        <n v="5364"/>
        <n v="2771"/>
        <n v="3886"/>
        <n v="7567"/>
        <n v="4229"/>
        <n v="3656"/>
        <n v="8425"/>
      </sharedItems>
    </cacheField>
    <cacheField name="Budget" numFmtId="0">
      <sharedItems containsSemiMixedTypes="0" containsString="0" containsNumber="1" containsInteger="1" minValue="5074" maxValue="14543" count="30">
        <n v="5413"/>
        <n v="10963"/>
        <n v="8992"/>
        <n v="7501"/>
        <n v="11398"/>
        <n v="13529"/>
        <n v="12206"/>
        <n v="11558"/>
        <n v="12258"/>
        <n v="10509"/>
        <n v="11154"/>
        <n v="5819"/>
        <n v="5098"/>
        <n v="8963"/>
        <n v="8210"/>
        <n v="7831"/>
        <n v="6065"/>
        <n v="14543"/>
        <n v="13533"/>
        <n v="5074"/>
        <n v="10525"/>
        <n v="5695"/>
        <n v="8911"/>
        <n v="8292"/>
        <n v="14172"/>
        <n v="5220"/>
        <n v="13183"/>
        <n v="7593"/>
        <n v="14541"/>
        <n v="12388"/>
      </sharedItems>
    </cacheField>
    <cacheField name="Date" numFmtId="14">
      <sharedItems containsSemiMixedTypes="0" containsNonDate="0" containsDate="1" containsString="0" minDate="2023-01-15T00:00:00" maxDate="2023-12-21T00:00:00" count="29">
        <d v="2023-06-14T00:00:00"/>
        <d v="2023-07-04T00:00:00"/>
        <d v="2023-07-18T00:00:00"/>
        <d v="2023-12-20T00:00:00"/>
        <d v="2023-04-06T00:00:00"/>
        <d v="2023-04-18T00:00:00"/>
        <d v="2023-06-28T00:00:00"/>
        <d v="2023-11-30T00:00:00"/>
        <d v="2023-09-07T00:00:00"/>
        <d v="2023-01-15T00:00:00"/>
        <d v="2023-09-22T00:00:00"/>
        <d v="2023-08-02T00:00:00"/>
        <d v="2023-02-23T00:00:00"/>
        <d v="2023-08-14T00:00:00"/>
        <d v="2023-09-14T00:00:00"/>
        <d v="2023-11-03T00:00:00"/>
        <d v="2023-07-21T00:00:00"/>
        <d v="2023-10-11T00:00:00"/>
        <d v="2023-04-25T00:00:00"/>
        <d v="2023-07-23T00:00:00"/>
        <d v="2023-08-20T00:00:00"/>
        <d v="2023-05-20T00:00:00"/>
        <d v="2023-09-08T00:00:00"/>
        <d v="2023-03-18T00:00:00"/>
        <d v="2023-05-17T00:00:00"/>
        <d v="2023-11-29T00:00:00"/>
        <d v="2023-07-11T00:00:00"/>
        <d v="2023-12-17T00:00:00"/>
        <d v="2023-07-13T00:00:00"/>
      </sharedItems>
      <fieldGroup par="8"/>
    </cacheField>
    <cacheField name="Project Name" numFmtId="0">
      <sharedItems count="4">
        <s v="Delta"/>
        <s v="Alpha"/>
        <s v="Gamma"/>
        <s v="Beta"/>
      </sharedItems>
    </cacheField>
    <cacheField name="% Budget Used" numFmtId="0" formula="'Expense Amount'/Budget" databaseField="0"/>
    <cacheField name="Months (Date)" numFmtId="0" databaseField="0">
      <fieldGroup base="4">
        <rangePr groupBy="months" startDate="2023-01-15T00:00:00" endDate="2023-12-21T00:00:00"/>
        <groupItems count="14">
          <s v="&lt;15-01-2023"/>
          <s v="Jan"/>
          <s v="Feb"/>
          <s v="Mar"/>
          <s v="Apr"/>
          <s v="May"/>
          <s v="Jun"/>
          <s v="Jul"/>
          <s v="Aug"/>
          <s v="Sep"/>
          <s v="Oct"/>
          <s v="Nov"/>
          <s v="Dec"/>
          <s v="&gt;21-12-2023"/>
        </groupItems>
      </fieldGroup>
    </cacheField>
    <cacheField name="Years (Date)" numFmtId="0" databaseField="0">
      <fieldGroup base="4">
        <rangePr groupBy="years" startDate="2023-01-15T00:00:00" endDate="2023-12-21T00:00:00"/>
        <groupItems count="3">
          <s v="&lt;15-01-2023"/>
          <s v="2023"/>
          <s v="&gt;21-12-2023"/>
        </groupItems>
      </fieldGroup>
    </cacheField>
  </cacheFields>
  <extLst>
    <ext xmlns:x14="http://schemas.microsoft.com/office/spreadsheetml/2009/9/main" uri="{725AE2AE-9491-48be-B2B4-4EB974FC3084}">
      <x14:pivotCacheDefinition pivotCacheId="1950724540"/>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kta" refreshedDate="45884.617684953701" createdVersion="8" refreshedVersion="8" minRefreshableVersion="3" recordCount="30" xr:uid="{5FB7E16A-D28B-44EA-A98A-22CCF7B968BA}">
  <cacheSource type="worksheet">
    <worksheetSource name="Table1"/>
  </cacheSource>
  <cacheFields count="10">
    <cacheField name="Order ID" numFmtId="0">
      <sharedItems count="30">
        <s v="O1000"/>
        <s v="O1001"/>
        <s v="O1002"/>
        <s v="O1003"/>
        <s v="O1004"/>
        <s v="O1005"/>
        <s v="O1006"/>
        <s v="O1007"/>
        <s v="O1008"/>
        <s v="O1009"/>
        <s v="O1010"/>
        <s v="O1011"/>
        <s v="O1012"/>
        <s v="O1013"/>
        <s v="O1014"/>
        <s v="O1015"/>
        <s v="O1016"/>
        <s v="O1017"/>
        <s v="O1018"/>
        <s v="O1019"/>
        <s v="O1020"/>
        <s v="O1021"/>
        <s v="O1022"/>
        <s v="O1023"/>
        <s v="O1024"/>
        <s v="O1025"/>
        <s v="O1026"/>
        <s v="O1027"/>
        <s v="O1028"/>
        <s v="O1029"/>
      </sharedItems>
    </cacheField>
    <cacheField name="Customer Name" numFmtId="0">
      <sharedItems count="5">
        <s v="Adani"/>
        <s v="Tata"/>
        <s v="HUL"/>
        <s v="Reliance"/>
        <s v="Flipkart"/>
      </sharedItems>
    </cacheField>
    <cacheField name="Order Date" numFmtId="14">
      <sharedItems containsSemiMixedTypes="0" containsNonDate="0" containsDate="1" containsString="0" minDate="2023-02-01T00:00:00" maxDate="2023-11-24T00:00:00" count="30">
        <d v="2023-05-03T00:00:00"/>
        <d v="2023-05-19T00:00:00"/>
        <d v="2023-02-20T00:00:00"/>
        <d v="2023-10-01T00:00:00"/>
        <d v="2023-10-24T00:00:00"/>
        <d v="2023-11-08T00:00:00"/>
        <d v="2023-07-04T00:00:00"/>
        <d v="2023-08-05T00:00:00"/>
        <d v="2023-07-18T00:00:00"/>
        <d v="2023-09-30T00:00:00"/>
        <d v="2023-05-22T00:00:00"/>
        <d v="2023-10-08T00:00:00"/>
        <d v="2023-07-23T00:00:00"/>
        <d v="2023-09-13T00:00:00"/>
        <d v="2023-10-19T00:00:00"/>
        <d v="2023-03-21T00:00:00"/>
        <d v="2023-07-28T00:00:00"/>
        <d v="2023-02-01T00:00:00"/>
        <d v="2023-09-27T00:00:00"/>
        <d v="2023-11-23T00:00:00"/>
        <d v="2023-06-13T00:00:00"/>
        <d v="2023-04-23T00:00:00"/>
        <d v="2023-08-03T00:00:00"/>
        <d v="2023-05-25T00:00:00"/>
        <d v="2023-05-04T00:00:00"/>
        <d v="2023-10-12T00:00:00"/>
        <d v="2023-06-04T00:00:00"/>
        <d v="2023-02-25T00:00:00"/>
        <d v="2023-11-06T00:00:00"/>
        <d v="2023-11-20T00:00:00"/>
      </sharedItems>
      <fieldGroup par="9"/>
    </cacheField>
    <cacheField name="Delivery Date" numFmtId="14">
      <sharedItems containsSemiMixedTypes="0" containsNonDate="0" containsDate="1" containsString="0" minDate="2023-02-02T00:00:00" maxDate="2023-12-02T00:00:00"/>
    </cacheField>
    <cacheField name="Product" numFmtId="0">
      <sharedItems count="4">
        <s v="Switch"/>
        <s v="Access Point"/>
        <s v="Router"/>
        <s v="Modem"/>
      </sharedItems>
    </cacheField>
    <cacheField name="Order Value" numFmtId="0">
      <sharedItems containsSemiMixedTypes="0" containsString="0" containsNumber="1" containsInteger="1" minValue="5730" maxValue="48063"/>
    </cacheField>
    <cacheField name="Delivery Status" numFmtId="0">
      <sharedItems count="2">
        <s v="On Time"/>
        <s v="Delayed"/>
      </sharedItems>
    </cacheField>
    <cacheField name="Delivery Duration (Days)" numFmtId="0">
      <sharedItems containsSemiMixedTypes="0" containsString="0" containsNumber="1" containsInteger="1" minValue="1" maxValue="10"/>
    </cacheField>
    <cacheField name="Days (Order Date)" numFmtId="0" databaseField="0">
      <fieldGroup base="2">
        <rangePr groupBy="days" startDate="2023-02-01T00:00:00" endDate="2023-11-24T00:00:00"/>
        <groupItems count="368">
          <s v="&lt;01-02-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4-11-2023"/>
        </groupItems>
      </fieldGroup>
    </cacheField>
    <cacheField name="Months (Order Date)" numFmtId="0" databaseField="0">
      <fieldGroup base="2">
        <rangePr groupBy="months" startDate="2023-02-01T00:00:00" endDate="2023-11-24T00:00:00"/>
        <groupItems count="14">
          <s v="&lt;01-02-2023"/>
          <s v="Jan"/>
          <s v="Feb"/>
          <s v="Mar"/>
          <s v="Apr"/>
          <s v="May"/>
          <s v="Jun"/>
          <s v="Jul"/>
          <s v="Aug"/>
          <s v="Sep"/>
          <s v="Oct"/>
          <s v="Nov"/>
          <s v="Dec"/>
          <s v="&gt;24-11-2023"/>
        </groupItems>
      </fieldGroup>
    </cacheField>
  </cacheFields>
  <extLst>
    <ext xmlns:x14="http://schemas.microsoft.com/office/spreadsheetml/2009/9/main" uri="{725AE2AE-9491-48be-B2B4-4EB974FC3084}">
      <x14:pivotCacheDefinition pivotCacheId="11030058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x v="0"/>
    <x v="0"/>
    <n v="12"/>
    <n v="809"/>
    <n v="9708"/>
    <n v="1941.6"/>
  </r>
  <r>
    <x v="1"/>
    <x v="0"/>
    <x v="1"/>
    <x v="0"/>
    <n v="10"/>
    <n v="418"/>
    <n v="4180"/>
    <n v="836"/>
  </r>
  <r>
    <x v="2"/>
    <x v="1"/>
    <x v="2"/>
    <x v="1"/>
    <n v="12"/>
    <n v="528"/>
    <n v="6336"/>
    <n v="1267.2"/>
  </r>
  <r>
    <x v="3"/>
    <x v="2"/>
    <x v="3"/>
    <x v="2"/>
    <n v="10"/>
    <n v="761"/>
    <n v="7610"/>
    <n v="1522"/>
  </r>
  <r>
    <x v="4"/>
    <x v="1"/>
    <x v="2"/>
    <x v="1"/>
    <n v="20"/>
    <n v="216"/>
    <n v="4320"/>
    <n v="864"/>
  </r>
  <r>
    <x v="5"/>
    <x v="1"/>
    <x v="2"/>
    <x v="3"/>
    <n v="20"/>
    <n v="975"/>
    <n v="19500"/>
    <n v="3900"/>
  </r>
  <r>
    <x v="6"/>
    <x v="2"/>
    <x v="1"/>
    <x v="0"/>
    <n v="14"/>
    <n v="779"/>
    <n v="10906"/>
    <n v="2181.1999999999998"/>
  </r>
  <r>
    <x v="0"/>
    <x v="0"/>
    <x v="0"/>
    <x v="1"/>
    <n v="17"/>
    <n v="637"/>
    <n v="10829"/>
    <n v="2165.8000000000002"/>
  </r>
  <r>
    <x v="7"/>
    <x v="2"/>
    <x v="2"/>
    <x v="3"/>
    <n v="19"/>
    <n v="877"/>
    <n v="16663"/>
    <n v="3332.6"/>
  </r>
  <r>
    <x v="8"/>
    <x v="3"/>
    <x v="1"/>
    <x v="0"/>
    <n v="6"/>
    <n v="579"/>
    <n v="3474"/>
    <n v="694.80000000000007"/>
  </r>
  <r>
    <x v="9"/>
    <x v="2"/>
    <x v="3"/>
    <x v="3"/>
    <n v="4"/>
    <n v="945"/>
    <n v="3780"/>
    <n v="756"/>
  </r>
  <r>
    <x v="10"/>
    <x v="0"/>
    <x v="1"/>
    <x v="3"/>
    <n v="7"/>
    <n v="312"/>
    <n v="2184"/>
    <n v="436.8"/>
  </r>
  <r>
    <x v="11"/>
    <x v="3"/>
    <x v="4"/>
    <x v="1"/>
    <n v="20"/>
    <n v="541"/>
    <n v="10820"/>
    <n v="2164"/>
  </r>
  <r>
    <x v="12"/>
    <x v="3"/>
    <x v="0"/>
    <x v="4"/>
    <n v="20"/>
    <n v="566"/>
    <n v="11320"/>
    <n v="2264"/>
  </r>
  <r>
    <x v="13"/>
    <x v="2"/>
    <x v="0"/>
    <x v="4"/>
    <n v="1"/>
    <n v="995"/>
    <n v="995"/>
    <n v="199"/>
  </r>
  <r>
    <x v="14"/>
    <x v="1"/>
    <x v="0"/>
    <x v="4"/>
    <n v="20"/>
    <n v="877"/>
    <n v="17540"/>
    <n v="3508"/>
  </r>
  <r>
    <x v="15"/>
    <x v="2"/>
    <x v="1"/>
    <x v="0"/>
    <n v="4"/>
    <n v="545"/>
    <n v="2180"/>
    <n v="436"/>
  </r>
  <r>
    <x v="12"/>
    <x v="3"/>
    <x v="4"/>
    <x v="3"/>
    <n v="1"/>
    <n v="970"/>
    <n v="970"/>
    <n v="194"/>
  </r>
  <r>
    <x v="16"/>
    <x v="0"/>
    <x v="3"/>
    <x v="2"/>
    <n v="10"/>
    <n v="267"/>
    <n v="2670"/>
    <n v="534"/>
  </r>
  <r>
    <x v="17"/>
    <x v="2"/>
    <x v="2"/>
    <x v="4"/>
    <n v="17"/>
    <n v="318"/>
    <n v="5406"/>
    <n v="1081.2"/>
  </r>
  <r>
    <x v="18"/>
    <x v="0"/>
    <x v="3"/>
    <x v="0"/>
    <n v="7"/>
    <n v="164"/>
    <n v="1148"/>
    <n v="229.6"/>
  </r>
  <r>
    <x v="19"/>
    <x v="1"/>
    <x v="1"/>
    <x v="4"/>
    <n v="16"/>
    <n v="617"/>
    <n v="9872"/>
    <n v="1974.4"/>
  </r>
  <r>
    <x v="20"/>
    <x v="1"/>
    <x v="2"/>
    <x v="0"/>
    <n v="13"/>
    <n v="281"/>
    <n v="3653"/>
    <n v="730.6"/>
  </r>
  <r>
    <x v="21"/>
    <x v="1"/>
    <x v="2"/>
    <x v="4"/>
    <n v="13"/>
    <n v="895"/>
    <n v="11635"/>
    <n v="2327"/>
  </r>
  <r>
    <x v="22"/>
    <x v="3"/>
    <x v="2"/>
    <x v="0"/>
    <n v="10"/>
    <n v="457"/>
    <n v="4570"/>
    <n v="914"/>
  </r>
  <r>
    <x v="23"/>
    <x v="1"/>
    <x v="0"/>
    <x v="2"/>
    <n v="8"/>
    <n v="945"/>
    <n v="7560"/>
    <n v="1512"/>
  </r>
  <r>
    <x v="24"/>
    <x v="1"/>
    <x v="2"/>
    <x v="3"/>
    <n v="9"/>
    <n v="873"/>
    <n v="7857"/>
    <n v="1571.4"/>
  </r>
  <r>
    <x v="25"/>
    <x v="3"/>
    <x v="2"/>
    <x v="0"/>
    <n v="17"/>
    <n v="828"/>
    <n v="14076"/>
    <n v="2815.2"/>
  </r>
  <r>
    <x v="26"/>
    <x v="2"/>
    <x v="2"/>
    <x v="3"/>
    <n v="16"/>
    <n v="515"/>
    <n v="8240"/>
    <n v="1648"/>
  </r>
  <r>
    <x v="19"/>
    <x v="1"/>
    <x v="2"/>
    <x v="1"/>
    <n v="2"/>
    <n v="918"/>
    <n v="1836"/>
    <n v="367.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x v="0"/>
    <n v="48"/>
    <x v="0"/>
    <x v="0"/>
    <x v="0"/>
    <n v="57360"/>
  </r>
  <r>
    <x v="1"/>
    <x v="1"/>
    <x v="0"/>
    <n v="44"/>
    <x v="1"/>
    <x v="1"/>
    <x v="0"/>
    <n v="39014"/>
  </r>
  <r>
    <x v="2"/>
    <x v="1"/>
    <x v="1"/>
    <n v="44"/>
    <x v="2"/>
    <x v="2"/>
    <x v="1"/>
    <n v="30083"/>
  </r>
  <r>
    <x v="3"/>
    <x v="0"/>
    <x v="1"/>
    <n v="23"/>
    <x v="3"/>
    <x v="3"/>
    <x v="0"/>
    <n v="71032"/>
  </r>
  <r>
    <x v="4"/>
    <x v="1"/>
    <x v="0"/>
    <n v="48"/>
    <x v="4"/>
    <x v="2"/>
    <x v="1"/>
    <n v="46427"/>
  </r>
  <r>
    <x v="5"/>
    <x v="1"/>
    <x v="0"/>
    <n v="36"/>
    <x v="5"/>
    <x v="4"/>
    <x v="0"/>
    <n v="104801"/>
  </r>
  <r>
    <x v="6"/>
    <x v="2"/>
    <x v="1"/>
    <n v="31"/>
    <x v="6"/>
    <x v="5"/>
    <x v="0"/>
    <n v="63913"/>
  </r>
  <r>
    <x v="7"/>
    <x v="0"/>
    <x v="1"/>
    <n v="39"/>
    <x v="7"/>
    <x v="2"/>
    <x v="1"/>
    <n v="79964"/>
  </r>
  <r>
    <x v="8"/>
    <x v="3"/>
    <x v="1"/>
    <n v="41"/>
    <x v="8"/>
    <x v="6"/>
    <x v="0"/>
    <n v="71187"/>
  </r>
  <r>
    <x v="9"/>
    <x v="2"/>
    <x v="1"/>
    <n v="33"/>
    <x v="9"/>
    <x v="7"/>
    <x v="0"/>
    <n v="85778"/>
  </r>
  <r>
    <x v="10"/>
    <x v="4"/>
    <x v="0"/>
    <n v="44"/>
    <x v="10"/>
    <x v="8"/>
    <x v="0"/>
    <n v="38642"/>
  </r>
  <r>
    <x v="11"/>
    <x v="2"/>
    <x v="1"/>
    <n v="39"/>
    <x v="11"/>
    <x v="9"/>
    <x v="0"/>
    <n v="52972"/>
  </r>
  <r>
    <x v="12"/>
    <x v="4"/>
    <x v="1"/>
    <n v="49"/>
    <x v="12"/>
    <x v="10"/>
    <x v="0"/>
    <n v="105379"/>
  </r>
  <r>
    <x v="13"/>
    <x v="1"/>
    <x v="1"/>
    <n v="34"/>
    <x v="13"/>
    <x v="2"/>
    <x v="1"/>
    <n v="107731"/>
  </r>
  <r>
    <x v="14"/>
    <x v="1"/>
    <x v="1"/>
    <n v="27"/>
    <x v="14"/>
    <x v="2"/>
    <x v="1"/>
    <n v="32559"/>
  </r>
  <r>
    <x v="15"/>
    <x v="2"/>
    <x v="0"/>
    <n v="44"/>
    <x v="15"/>
    <x v="11"/>
    <x v="0"/>
    <n v="55865"/>
  </r>
  <r>
    <x v="16"/>
    <x v="2"/>
    <x v="1"/>
    <n v="25"/>
    <x v="16"/>
    <x v="12"/>
    <x v="0"/>
    <n v="98094"/>
  </r>
  <r>
    <x v="17"/>
    <x v="3"/>
    <x v="0"/>
    <n v="33"/>
    <x v="17"/>
    <x v="2"/>
    <x v="1"/>
    <n v="90546"/>
  </r>
  <r>
    <x v="18"/>
    <x v="3"/>
    <x v="1"/>
    <n v="22"/>
    <x v="18"/>
    <x v="13"/>
    <x v="0"/>
    <n v="34566"/>
  </r>
  <r>
    <x v="19"/>
    <x v="3"/>
    <x v="0"/>
    <n v="24"/>
    <x v="19"/>
    <x v="14"/>
    <x v="0"/>
    <n v="105366"/>
  </r>
  <r>
    <x v="20"/>
    <x v="0"/>
    <x v="0"/>
    <n v="30"/>
    <x v="20"/>
    <x v="2"/>
    <x v="1"/>
    <n v="63032"/>
  </r>
  <r>
    <x v="21"/>
    <x v="1"/>
    <x v="1"/>
    <n v="29"/>
    <x v="21"/>
    <x v="2"/>
    <x v="1"/>
    <n v="65831"/>
  </r>
  <r>
    <x v="22"/>
    <x v="3"/>
    <x v="1"/>
    <n v="46"/>
    <x v="22"/>
    <x v="15"/>
    <x v="0"/>
    <n v="34892"/>
  </r>
  <r>
    <x v="23"/>
    <x v="4"/>
    <x v="0"/>
    <n v="31"/>
    <x v="23"/>
    <x v="2"/>
    <x v="1"/>
    <n v="31149"/>
  </r>
  <r>
    <x v="24"/>
    <x v="2"/>
    <x v="0"/>
    <n v="41"/>
    <x v="24"/>
    <x v="16"/>
    <x v="0"/>
    <n v="42901"/>
  </r>
  <r>
    <x v="25"/>
    <x v="4"/>
    <x v="1"/>
    <n v="41"/>
    <x v="25"/>
    <x v="2"/>
    <x v="1"/>
    <n v="84454"/>
  </r>
  <r>
    <x v="26"/>
    <x v="4"/>
    <x v="0"/>
    <n v="32"/>
    <x v="26"/>
    <x v="17"/>
    <x v="0"/>
    <n v="57114"/>
  </r>
  <r>
    <x v="27"/>
    <x v="2"/>
    <x v="1"/>
    <n v="37"/>
    <x v="27"/>
    <x v="18"/>
    <x v="0"/>
    <n v="64488"/>
  </r>
  <r>
    <x v="28"/>
    <x v="4"/>
    <x v="0"/>
    <n v="41"/>
    <x v="28"/>
    <x v="19"/>
    <x v="0"/>
    <n v="89017"/>
  </r>
  <r>
    <x v="29"/>
    <x v="2"/>
    <x v="1"/>
    <n v="28"/>
    <x v="29"/>
    <x v="20"/>
    <x v="0"/>
    <n v="10561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x v="0"/>
    <n v="120"/>
    <n v="80"/>
    <n v="84"/>
    <x v="0"/>
    <n v="124"/>
  </r>
  <r>
    <x v="1"/>
    <x v="1"/>
    <x v="1"/>
    <n v="132"/>
    <n v="54"/>
    <n v="28"/>
    <x v="1"/>
    <n v="106"/>
  </r>
  <r>
    <x v="2"/>
    <x v="0"/>
    <x v="0"/>
    <n v="54"/>
    <n v="79"/>
    <n v="25"/>
    <x v="2"/>
    <n v="0"/>
  </r>
  <r>
    <x v="3"/>
    <x v="0"/>
    <x v="2"/>
    <n v="184"/>
    <n v="75"/>
    <n v="81"/>
    <x v="3"/>
    <n v="190"/>
  </r>
  <r>
    <x v="4"/>
    <x v="2"/>
    <x v="0"/>
    <n v="100"/>
    <n v="44"/>
    <n v="29"/>
    <x v="4"/>
    <n v="85"/>
  </r>
  <r>
    <x v="5"/>
    <x v="1"/>
    <x v="1"/>
    <n v="163"/>
    <n v="67"/>
    <n v="63"/>
    <x v="5"/>
    <n v="159"/>
  </r>
  <r>
    <x v="6"/>
    <x v="2"/>
    <x v="0"/>
    <n v="196"/>
    <n v="64"/>
    <n v="44"/>
    <x v="6"/>
    <n v="176"/>
  </r>
  <r>
    <x v="7"/>
    <x v="0"/>
    <x v="1"/>
    <n v="194"/>
    <n v="46"/>
    <n v="91"/>
    <x v="7"/>
    <n v="239"/>
  </r>
  <r>
    <x v="8"/>
    <x v="2"/>
    <x v="0"/>
    <n v="95"/>
    <n v="15"/>
    <n v="49"/>
    <x v="8"/>
    <n v="129"/>
  </r>
  <r>
    <x v="9"/>
    <x v="2"/>
    <x v="1"/>
    <n v="97"/>
    <n v="33"/>
    <n v="62"/>
    <x v="9"/>
    <n v="126"/>
  </r>
  <r>
    <x v="10"/>
    <x v="2"/>
    <x v="1"/>
    <n v="177"/>
    <n v="63"/>
    <n v="67"/>
    <x v="10"/>
    <n v="181"/>
  </r>
  <r>
    <x v="11"/>
    <x v="0"/>
    <x v="1"/>
    <n v="114"/>
    <n v="72"/>
    <n v="63"/>
    <x v="11"/>
    <n v="105"/>
  </r>
  <r>
    <x v="12"/>
    <x v="1"/>
    <x v="1"/>
    <n v="122"/>
    <n v="55"/>
    <n v="68"/>
    <x v="12"/>
    <n v="135"/>
  </r>
  <r>
    <x v="13"/>
    <x v="0"/>
    <x v="1"/>
    <n v="188"/>
    <n v="32"/>
    <n v="26"/>
    <x v="13"/>
    <n v="182"/>
  </r>
  <r>
    <x v="14"/>
    <x v="0"/>
    <x v="0"/>
    <n v="181"/>
    <n v="66"/>
    <n v="50"/>
    <x v="14"/>
    <n v="165"/>
  </r>
  <r>
    <x v="15"/>
    <x v="0"/>
    <x v="2"/>
    <n v="71"/>
    <n v="36"/>
    <n v="65"/>
    <x v="15"/>
    <n v="100"/>
  </r>
  <r>
    <x v="16"/>
    <x v="0"/>
    <x v="2"/>
    <n v="106"/>
    <n v="10"/>
    <n v="25"/>
    <x v="16"/>
    <n v="121"/>
  </r>
  <r>
    <x v="17"/>
    <x v="0"/>
    <x v="0"/>
    <n v="129"/>
    <n v="22"/>
    <n v="70"/>
    <x v="17"/>
    <n v="177"/>
  </r>
  <r>
    <x v="18"/>
    <x v="0"/>
    <x v="0"/>
    <n v="170"/>
    <n v="56"/>
    <n v="21"/>
    <x v="18"/>
    <n v="135"/>
  </r>
  <r>
    <x v="19"/>
    <x v="0"/>
    <x v="0"/>
    <n v="128"/>
    <n v="40"/>
    <n v="28"/>
    <x v="19"/>
    <n v="116"/>
  </r>
  <r>
    <x v="20"/>
    <x v="2"/>
    <x v="0"/>
    <n v="56"/>
    <n v="46"/>
    <n v="66"/>
    <x v="20"/>
    <n v="76"/>
  </r>
  <r>
    <x v="21"/>
    <x v="2"/>
    <x v="0"/>
    <n v="136"/>
    <n v="20"/>
    <n v="59"/>
    <x v="21"/>
    <n v="175"/>
  </r>
  <r>
    <x v="22"/>
    <x v="0"/>
    <x v="1"/>
    <n v="68"/>
    <n v="56"/>
    <n v="70"/>
    <x v="22"/>
    <n v="82"/>
  </r>
  <r>
    <x v="23"/>
    <x v="1"/>
    <x v="2"/>
    <n v="165"/>
    <n v="68"/>
    <n v="47"/>
    <x v="23"/>
    <n v="144"/>
  </r>
  <r>
    <x v="24"/>
    <x v="2"/>
    <x v="1"/>
    <n v="71"/>
    <n v="68"/>
    <n v="57"/>
    <x v="24"/>
    <n v="60"/>
  </r>
  <r>
    <x v="25"/>
    <x v="2"/>
    <x v="2"/>
    <n v="56"/>
    <n v="70"/>
    <n v="75"/>
    <x v="25"/>
    <n v="61"/>
  </r>
  <r>
    <x v="26"/>
    <x v="2"/>
    <x v="2"/>
    <n v="80"/>
    <n v="61"/>
    <n v="39"/>
    <x v="26"/>
    <n v="58"/>
  </r>
  <r>
    <x v="27"/>
    <x v="1"/>
    <x v="1"/>
    <n v="70"/>
    <n v="68"/>
    <n v="46"/>
    <x v="27"/>
    <n v="48"/>
  </r>
  <r>
    <x v="28"/>
    <x v="0"/>
    <x v="0"/>
    <n v="143"/>
    <n v="49"/>
    <n v="44"/>
    <x v="28"/>
    <n v="138"/>
  </r>
  <r>
    <x v="29"/>
    <x v="2"/>
    <x v="2"/>
    <n v="168"/>
    <n v="29"/>
    <n v="77"/>
    <x v="29"/>
    <n v="216"/>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x v="0"/>
    <x v="0"/>
    <x v="0"/>
    <x v="0"/>
  </r>
  <r>
    <x v="1"/>
    <x v="1"/>
    <x v="1"/>
    <x v="1"/>
    <x v="1"/>
    <x v="1"/>
  </r>
  <r>
    <x v="2"/>
    <x v="2"/>
    <x v="2"/>
    <x v="2"/>
    <x v="2"/>
    <x v="2"/>
  </r>
  <r>
    <x v="2"/>
    <x v="3"/>
    <x v="3"/>
    <x v="3"/>
    <x v="3"/>
    <x v="0"/>
  </r>
  <r>
    <x v="1"/>
    <x v="3"/>
    <x v="4"/>
    <x v="4"/>
    <x v="4"/>
    <x v="0"/>
  </r>
  <r>
    <x v="2"/>
    <x v="0"/>
    <x v="5"/>
    <x v="5"/>
    <x v="5"/>
    <x v="3"/>
  </r>
  <r>
    <x v="1"/>
    <x v="1"/>
    <x v="6"/>
    <x v="6"/>
    <x v="6"/>
    <x v="1"/>
  </r>
  <r>
    <x v="1"/>
    <x v="2"/>
    <x v="7"/>
    <x v="7"/>
    <x v="7"/>
    <x v="1"/>
  </r>
  <r>
    <x v="0"/>
    <x v="2"/>
    <x v="8"/>
    <x v="8"/>
    <x v="8"/>
    <x v="3"/>
  </r>
  <r>
    <x v="0"/>
    <x v="1"/>
    <x v="9"/>
    <x v="9"/>
    <x v="9"/>
    <x v="3"/>
  </r>
  <r>
    <x v="2"/>
    <x v="3"/>
    <x v="10"/>
    <x v="10"/>
    <x v="10"/>
    <x v="1"/>
  </r>
  <r>
    <x v="0"/>
    <x v="3"/>
    <x v="11"/>
    <x v="11"/>
    <x v="11"/>
    <x v="2"/>
  </r>
  <r>
    <x v="1"/>
    <x v="1"/>
    <x v="12"/>
    <x v="12"/>
    <x v="12"/>
    <x v="3"/>
  </r>
  <r>
    <x v="0"/>
    <x v="2"/>
    <x v="13"/>
    <x v="13"/>
    <x v="13"/>
    <x v="1"/>
  </r>
  <r>
    <x v="0"/>
    <x v="0"/>
    <x v="14"/>
    <x v="14"/>
    <x v="14"/>
    <x v="0"/>
  </r>
  <r>
    <x v="3"/>
    <x v="3"/>
    <x v="15"/>
    <x v="15"/>
    <x v="15"/>
    <x v="2"/>
  </r>
  <r>
    <x v="1"/>
    <x v="3"/>
    <x v="16"/>
    <x v="16"/>
    <x v="16"/>
    <x v="0"/>
  </r>
  <r>
    <x v="2"/>
    <x v="1"/>
    <x v="17"/>
    <x v="17"/>
    <x v="17"/>
    <x v="2"/>
  </r>
  <r>
    <x v="0"/>
    <x v="0"/>
    <x v="18"/>
    <x v="18"/>
    <x v="18"/>
    <x v="3"/>
  </r>
  <r>
    <x v="1"/>
    <x v="1"/>
    <x v="19"/>
    <x v="19"/>
    <x v="19"/>
    <x v="3"/>
  </r>
  <r>
    <x v="1"/>
    <x v="1"/>
    <x v="20"/>
    <x v="20"/>
    <x v="20"/>
    <x v="0"/>
  </r>
  <r>
    <x v="3"/>
    <x v="3"/>
    <x v="21"/>
    <x v="21"/>
    <x v="21"/>
    <x v="3"/>
  </r>
  <r>
    <x v="1"/>
    <x v="2"/>
    <x v="22"/>
    <x v="22"/>
    <x v="22"/>
    <x v="0"/>
  </r>
  <r>
    <x v="3"/>
    <x v="2"/>
    <x v="23"/>
    <x v="23"/>
    <x v="3"/>
    <x v="3"/>
  </r>
  <r>
    <x v="2"/>
    <x v="1"/>
    <x v="24"/>
    <x v="24"/>
    <x v="23"/>
    <x v="1"/>
  </r>
  <r>
    <x v="1"/>
    <x v="2"/>
    <x v="25"/>
    <x v="25"/>
    <x v="24"/>
    <x v="1"/>
  </r>
  <r>
    <x v="1"/>
    <x v="1"/>
    <x v="26"/>
    <x v="26"/>
    <x v="25"/>
    <x v="0"/>
  </r>
  <r>
    <x v="0"/>
    <x v="1"/>
    <x v="27"/>
    <x v="27"/>
    <x v="26"/>
    <x v="3"/>
  </r>
  <r>
    <x v="0"/>
    <x v="2"/>
    <x v="28"/>
    <x v="28"/>
    <x v="27"/>
    <x v="1"/>
  </r>
  <r>
    <x v="2"/>
    <x v="1"/>
    <x v="29"/>
    <x v="29"/>
    <x v="28"/>
    <x v="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x v="0"/>
    <d v="2023-05-10T00:00:00"/>
    <x v="0"/>
    <n v="6604"/>
    <x v="0"/>
    <n v="7"/>
  </r>
  <r>
    <x v="1"/>
    <x v="0"/>
    <x v="1"/>
    <d v="2023-05-20T00:00:00"/>
    <x v="1"/>
    <n v="32671"/>
    <x v="0"/>
    <n v="1"/>
  </r>
  <r>
    <x v="2"/>
    <x v="1"/>
    <x v="2"/>
    <d v="2023-02-26T00:00:00"/>
    <x v="1"/>
    <n v="38799"/>
    <x v="0"/>
    <n v="6"/>
  </r>
  <r>
    <x v="3"/>
    <x v="2"/>
    <x v="3"/>
    <d v="2023-10-04T00:00:00"/>
    <x v="2"/>
    <n v="40016"/>
    <x v="0"/>
    <n v="3"/>
  </r>
  <r>
    <x v="4"/>
    <x v="2"/>
    <x v="4"/>
    <d v="2023-11-03T00:00:00"/>
    <x v="1"/>
    <n v="15591"/>
    <x v="1"/>
    <n v="10"/>
  </r>
  <r>
    <x v="5"/>
    <x v="3"/>
    <x v="5"/>
    <d v="2023-11-13T00:00:00"/>
    <x v="3"/>
    <n v="6929"/>
    <x v="1"/>
    <n v="5"/>
  </r>
  <r>
    <x v="6"/>
    <x v="1"/>
    <x v="6"/>
    <d v="2023-07-13T00:00:00"/>
    <x v="1"/>
    <n v="32236"/>
    <x v="0"/>
    <n v="9"/>
  </r>
  <r>
    <x v="7"/>
    <x v="1"/>
    <x v="7"/>
    <d v="2023-08-15T00:00:00"/>
    <x v="0"/>
    <n v="7082"/>
    <x v="0"/>
    <n v="10"/>
  </r>
  <r>
    <x v="8"/>
    <x v="3"/>
    <x v="8"/>
    <d v="2023-07-25T00:00:00"/>
    <x v="0"/>
    <n v="40232"/>
    <x v="0"/>
    <n v="7"/>
  </r>
  <r>
    <x v="9"/>
    <x v="0"/>
    <x v="9"/>
    <d v="2023-10-07T00:00:00"/>
    <x v="2"/>
    <n v="34502"/>
    <x v="0"/>
    <n v="7"/>
  </r>
  <r>
    <x v="10"/>
    <x v="1"/>
    <x v="10"/>
    <d v="2023-05-24T00:00:00"/>
    <x v="3"/>
    <n v="22818"/>
    <x v="1"/>
    <n v="2"/>
  </r>
  <r>
    <x v="11"/>
    <x v="2"/>
    <x v="11"/>
    <d v="2023-10-18T00:00:00"/>
    <x v="2"/>
    <n v="45236"/>
    <x v="1"/>
    <n v="10"/>
  </r>
  <r>
    <x v="12"/>
    <x v="3"/>
    <x v="12"/>
    <d v="2023-07-30T00:00:00"/>
    <x v="3"/>
    <n v="47188"/>
    <x v="0"/>
    <n v="7"/>
  </r>
  <r>
    <x v="13"/>
    <x v="2"/>
    <x v="13"/>
    <d v="2023-09-19T00:00:00"/>
    <x v="3"/>
    <n v="40135"/>
    <x v="1"/>
    <n v="6"/>
  </r>
  <r>
    <x v="14"/>
    <x v="4"/>
    <x v="14"/>
    <d v="2023-10-22T00:00:00"/>
    <x v="1"/>
    <n v="36682"/>
    <x v="1"/>
    <n v="3"/>
  </r>
  <r>
    <x v="15"/>
    <x v="2"/>
    <x v="15"/>
    <d v="2023-03-28T00:00:00"/>
    <x v="0"/>
    <n v="14341"/>
    <x v="1"/>
    <n v="7"/>
  </r>
  <r>
    <x v="16"/>
    <x v="4"/>
    <x v="16"/>
    <d v="2023-08-03T00:00:00"/>
    <x v="3"/>
    <n v="20862"/>
    <x v="1"/>
    <n v="6"/>
  </r>
  <r>
    <x v="17"/>
    <x v="2"/>
    <x v="17"/>
    <d v="2023-02-02T00:00:00"/>
    <x v="1"/>
    <n v="46396"/>
    <x v="0"/>
    <n v="1"/>
  </r>
  <r>
    <x v="18"/>
    <x v="1"/>
    <x v="18"/>
    <d v="2023-09-28T00:00:00"/>
    <x v="1"/>
    <n v="13146"/>
    <x v="1"/>
    <n v="1"/>
  </r>
  <r>
    <x v="19"/>
    <x v="4"/>
    <x v="19"/>
    <d v="2023-12-01T00:00:00"/>
    <x v="0"/>
    <n v="30201"/>
    <x v="0"/>
    <n v="8"/>
  </r>
  <r>
    <x v="20"/>
    <x v="4"/>
    <x v="20"/>
    <d v="2023-06-19T00:00:00"/>
    <x v="1"/>
    <n v="14442"/>
    <x v="1"/>
    <n v="6"/>
  </r>
  <r>
    <x v="21"/>
    <x v="0"/>
    <x v="21"/>
    <d v="2023-05-03T00:00:00"/>
    <x v="0"/>
    <n v="43861"/>
    <x v="0"/>
    <n v="10"/>
  </r>
  <r>
    <x v="22"/>
    <x v="2"/>
    <x v="22"/>
    <d v="2023-08-10T00:00:00"/>
    <x v="1"/>
    <n v="8349"/>
    <x v="1"/>
    <n v="7"/>
  </r>
  <r>
    <x v="23"/>
    <x v="1"/>
    <x v="23"/>
    <d v="2023-05-26T00:00:00"/>
    <x v="2"/>
    <n v="5730"/>
    <x v="0"/>
    <n v="1"/>
  </r>
  <r>
    <x v="24"/>
    <x v="2"/>
    <x v="24"/>
    <d v="2023-05-11T00:00:00"/>
    <x v="0"/>
    <n v="48063"/>
    <x v="1"/>
    <n v="7"/>
  </r>
  <r>
    <x v="25"/>
    <x v="0"/>
    <x v="25"/>
    <d v="2023-10-14T00:00:00"/>
    <x v="0"/>
    <n v="12868"/>
    <x v="0"/>
    <n v="2"/>
  </r>
  <r>
    <x v="26"/>
    <x v="3"/>
    <x v="26"/>
    <d v="2023-06-13T00:00:00"/>
    <x v="1"/>
    <n v="31361"/>
    <x v="0"/>
    <n v="9"/>
  </r>
  <r>
    <x v="27"/>
    <x v="1"/>
    <x v="27"/>
    <d v="2023-03-03T00:00:00"/>
    <x v="0"/>
    <n v="5861"/>
    <x v="1"/>
    <n v="6"/>
  </r>
  <r>
    <x v="28"/>
    <x v="4"/>
    <x v="28"/>
    <d v="2023-11-15T00:00:00"/>
    <x v="3"/>
    <n v="30084"/>
    <x v="0"/>
    <n v="9"/>
  </r>
  <r>
    <x v="29"/>
    <x v="2"/>
    <x v="29"/>
    <d v="2023-11-23T00:00:00"/>
    <x v="3"/>
    <n v="13255"/>
    <x v="0"/>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C6FC71-36B2-4567-826A-DD0E5CE3AF5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s">
  <location ref="N13:O19" firstHeaderRow="1" firstDataRow="1" firstDataCol="1"/>
  <pivotFields count="10">
    <pivotField numFmtId="14" showAll="0">
      <items count="28">
        <item x="21"/>
        <item x="13"/>
        <item x="22"/>
        <item x="10"/>
        <item x="24"/>
        <item x="14"/>
        <item x="3"/>
        <item x="7"/>
        <item x="18"/>
        <item x="0"/>
        <item x="6"/>
        <item x="20"/>
        <item x="15"/>
        <item x="9"/>
        <item x="1"/>
        <item x="12"/>
        <item x="8"/>
        <item x="4"/>
        <item x="11"/>
        <item x="17"/>
        <item x="19"/>
        <item x="23"/>
        <item x="16"/>
        <item x="26"/>
        <item x="5"/>
        <item x="2"/>
        <item x="25"/>
        <item t="default"/>
      </items>
    </pivotField>
    <pivotField showAll="0">
      <items count="5">
        <item x="3"/>
        <item x="2"/>
        <item x="1"/>
        <item x="0"/>
        <item t="default"/>
      </items>
    </pivotField>
    <pivotField showAll="0"/>
    <pivotField axis="axisRow" showAll="0" sortType="descending">
      <items count="6">
        <item x="2"/>
        <item x="3"/>
        <item x="4"/>
        <item x="1"/>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v="1"/>
    </i>
    <i>
      <x v="2"/>
    </i>
    <i>
      <x v="4"/>
    </i>
    <i>
      <x v="3"/>
    </i>
    <i>
      <x/>
    </i>
    <i t="grand">
      <x/>
    </i>
  </rowItems>
  <colItems count="1">
    <i/>
  </colItems>
  <dataFields count="1">
    <dataField name="Sum of Revenu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BF95A8-69D0-4CB3-BF0E-B385F8B9FE9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s" colHeaderCaption="Region">
  <location ref="V20:AA27" firstHeaderRow="1" firstDataRow="2" firstDataCol="1"/>
  <pivotFields count="10">
    <pivotField numFmtId="14" showAll="0">
      <items count="28">
        <item x="21"/>
        <item x="13"/>
        <item x="22"/>
        <item x="10"/>
        <item x="24"/>
        <item x="14"/>
        <item x="3"/>
        <item x="7"/>
        <item x="18"/>
        <item x="0"/>
        <item x="6"/>
        <item x="20"/>
        <item x="15"/>
        <item x="9"/>
        <item x="1"/>
        <item x="12"/>
        <item x="8"/>
        <item x="4"/>
        <item x="11"/>
        <item x="17"/>
        <item x="19"/>
        <item x="23"/>
        <item x="16"/>
        <item x="26"/>
        <item x="5"/>
        <item x="2"/>
        <item x="25"/>
        <item t="default"/>
      </items>
    </pivotField>
    <pivotField axis="axisCol" showAll="0">
      <items count="5">
        <item x="3"/>
        <item x="2"/>
        <item x="1"/>
        <item x="0"/>
        <item t="default"/>
      </items>
    </pivotField>
    <pivotField showAll="0">
      <items count="6">
        <item x="1"/>
        <item x="0"/>
        <item x="4"/>
        <item x="3"/>
        <item x="2"/>
        <item t="default"/>
      </items>
    </pivotField>
    <pivotField axis="axisRow" showAll="0">
      <items count="6">
        <item x="2"/>
        <item x="3"/>
        <item x="4"/>
        <item x="1"/>
        <item x="0"/>
        <item t="default"/>
      </items>
    </pivotField>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i>
    <i>
      <x v="1"/>
    </i>
    <i>
      <x v="2"/>
    </i>
    <i>
      <x v="3"/>
    </i>
    <i>
      <x v="4"/>
    </i>
    <i t="grand">
      <x/>
    </i>
  </rowItems>
  <colFields count="1">
    <field x="1"/>
  </colFields>
  <colItems count="5">
    <i>
      <x/>
    </i>
    <i>
      <x v="1"/>
    </i>
    <i>
      <x v="2"/>
    </i>
    <i>
      <x v="3"/>
    </i>
    <i t="grand">
      <x/>
    </i>
  </colItems>
  <dataFields count="1">
    <dataField name="Sum of Revenu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33FCA3-009F-46D1-9B58-CD862BE65E6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Months">
  <location ref="K13:L26" firstHeaderRow="1" firstDataRow="1" firstDataCol="1"/>
  <pivotFields count="10">
    <pivotField numFmtId="14" showAll="0">
      <items count="28">
        <item x="21"/>
        <item x="13"/>
        <item x="22"/>
        <item x="10"/>
        <item x="24"/>
        <item x="14"/>
        <item x="3"/>
        <item x="7"/>
        <item x="18"/>
        <item x="0"/>
        <item x="6"/>
        <item x="20"/>
        <item x="15"/>
        <item x="9"/>
        <item x="1"/>
        <item x="12"/>
        <item x="8"/>
        <item x="4"/>
        <item x="11"/>
        <item x="17"/>
        <item x="19"/>
        <item x="23"/>
        <item x="16"/>
        <item x="26"/>
        <item x="5"/>
        <item x="2"/>
        <item x="25"/>
        <item t="default"/>
      </items>
    </pivotField>
    <pivotField showAll="0">
      <items count="5">
        <item x="3"/>
        <item x="2"/>
        <item x="1"/>
        <item x="0"/>
        <item t="default"/>
      </items>
    </pivotField>
    <pivotField showAll="0"/>
    <pivotField showAll="0"/>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Revenue" fld="6" baseField="0" baseItem="0"/>
  </dataFields>
  <chartFormats count="14">
    <chartFormat chart="9" format="0" series="1">
      <pivotArea type="data" outline="0" fieldPosition="0">
        <references count="2">
          <reference field="4294967294" count="1" selected="0">
            <x v="0"/>
          </reference>
          <reference field="9" count="1" selected="0">
            <x v="1"/>
          </reference>
        </references>
      </pivotArea>
    </chartFormat>
    <chartFormat chart="9" format="1" series="1">
      <pivotArea type="data" outline="0" fieldPosition="0">
        <references count="2">
          <reference field="4294967294" count="1" selected="0">
            <x v="0"/>
          </reference>
          <reference field="9" count="1" selected="0">
            <x v="2"/>
          </reference>
        </references>
      </pivotArea>
    </chartFormat>
    <chartFormat chart="9" format="2" series="1">
      <pivotArea type="data" outline="0" fieldPosition="0">
        <references count="2">
          <reference field="4294967294" count="1" selected="0">
            <x v="0"/>
          </reference>
          <reference field="9" count="1" selected="0">
            <x v="3"/>
          </reference>
        </references>
      </pivotArea>
    </chartFormat>
    <chartFormat chart="9" format="3" series="1">
      <pivotArea type="data" outline="0" fieldPosition="0">
        <references count="2">
          <reference field="4294967294" count="1" selected="0">
            <x v="0"/>
          </reference>
          <reference field="9" count="1" selected="0">
            <x v="4"/>
          </reference>
        </references>
      </pivotArea>
    </chartFormat>
    <chartFormat chart="9" format="4" series="1">
      <pivotArea type="data" outline="0" fieldPosition="0">
        <references count="2">
          <reference field="4294967294" count="1" selected="0">
            <x v="0"/>
          </reference>
          <reference field="9" count="1" selected="0">
            <x v="5"/>
          </reference>
        </references>
      </pivotArea>
    </chartFormat>
    <chartFormat chart="9" format="5" series="1">
      <pivotArea type="data" outline="0" fieldPosition="0">
        <references count="2">
          <reference field="4294967294" count="1" selected="0">
            <x v="0"/>
          </reference>
          <reference field="9" count="1" selected="0">
            <x v="6"/>
          </reference>
        </references>
      </pivotArea>
    </chartFormat>
    <chartFormat chart="9" format="6" series="1">
      <pivotArea type="data" outline="0" fieldPosition="0">
        <references count="2">
          <reference field="4294967294" count="1" selected="0">
            <x v="0"/>
          </reference>
          <reference field="9" count="1" selected="0">
            <x v="7"/>
          </reference>
        </references>
      </pivotArea>
    </chartFormat>
    <chartFormat chart="9" format="7" series="1">
      <pivotArea type="data" outline="0" fieldPosition="0">
        <references count="2">
          <reference field="4294967294" count="1" selected="0">
            <x v="0"/>
          </reference>
          <reference field="9" count="1" selected="0">
            <x v="8"/>
          </reference>
        </references>
      </pivotArea>
    </chartFormat>
    <chartFormat chart="9" format="8" series="1">
      <pivotArea type="data" outline="0" fieldPosition="0">
        <references count="2">
          <reference field="4294967294" count="1" selected="0">
            <x v="0"/>
          </reference>
          <reference field="9" count="1" selected="0">
            <x v="9"/>
          </reference>
        </references>
      </pivotArea>
    </chartFormat>
    <chartFormat chart="9" format="9" series="1">
      <pivotArea type="data" outline="0" fieldPosition="0">
        <references count="2">
          <reference field="4294967294" count="1" selected="0">
            <x v="0"/>
          </reference>
          <reference field="9" count="1" selected="0">
            <x v="10"/>
          </reference>
        </references>
      </pivotArea>
    </chartFormat>
    <chartFormat chart="9" format="10" series="1">
      <pivotArea type="data" outline="0" fieldPosition="0">
        <references count="2">
          <reference field="4294967294" count="1" selected="0">
            <x v="0"/>
          </reference>
          <reference field="9" count="1" selected="0">
            <x v="11"/>
          </reference>
        </references>
      </pivotArea>
    </chartFormat>
    <chartFormat chart="9" format="11" series="1">
      <pivotArea type="data" outline="0" fieldPosition="0">
        <references count="2">
          <reference field="4294967294" count="1" selected="0">
            <x v="0"/>
          </reference>
          <reference field="9" count="1" selected="0">
            <x v="12"/>
          </reference>
        </references>
      </pivotArea>
    </chartFormat>
    <chartFormat chart="9" format="1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1AA772-D42C-4C9A-92DA-7DB95B5B83B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location ref="N3:S10" firstHeaderRow="1" firstDataRow="2" firstDataCol="1"/>
  <pivotFields count="10">
    <pivotField numFmtId="14" showAll="0">
      <items count="28">
        <item x="21"/>
        <item x="13"/>
        <item x="22"/>
        <item x="10"/>
        <item x="24"/>
        <item x="14"/>
        <item x="3"/>
        <item x="7"/>
        <item x="18"/>
        <item x="0"/>
        <item x="6"/>
        <item x="20"/>
        <item x="15"/>
        <item x="9"/>
        <item x="1"/>
        <item x="12"/>
        <item x="8"/>
        <item x="4"/>
        <item x="11"/>
        <item x="17"/>
        <item x="19"/>
        <item x="23"/>
        <item x="16"/>
        <item x="26"/>
        <item x="5"/>
        <item x="2"/>
        <item x="25"/>
        <item t="default"/>
      </items>
    </pivotField>
    <pivotField axis="axisCol" showAll="0">
      <items count="5">
        <item x="3"/>
        <item x="2"/>
        <item x="1"/>
        <item x="0"/>
        <item t="default"/>
      </items>
    </pivotField>
    <pivotField axis="axisRow" showAll="0">
      <items count="6">
        <item x="1"/>
        <item x="0"/>
        <item x="4"/>
        <item x="3"/>
        <item x="2"/>
        <item t="default"/>
      </items>
    </pivotField>
    <pivotField showAll="0">
      <items count="6">
        <item x="2"/>
        <item x="3"/>
        <item x="4"/>
        <item x="1"/>
        <item x="0"/>
        <item t="default"/>
      </items>
    </pivotField>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Fields count="1">
    <field x="1"/>
  </colFields>
  <colItems count="5">
    <i>
      <x/>
    </i>
    <i>
      <x v="1"/>
    </i>
    <i>
      <x v="2"/>
    </i>
    <i>
      <x v="3"/>
    </i>
    <i t="grand">
      <x/>
    </i>
  </colItems>
  <dataFields count="1">
    <dataField name="Sum of Revenu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5FBE159-D410-437F-A515-1489949E018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Region">
  <location ref="K3:L8" firstHeaderRow="1" firstDataRow="1" firstDataCol="1"/>
  <pivotFields count="10">
    <pivotField numFmtId="14" showAll="0">
      <items count="28">
        <item x="21"/>
        <item x="13"/>
        <item x="22"/>
        <item x="10"/>
        <item x="24"/>
        <item x="14"/>
        <item x="3"/>
        <item x="7"/>
        <item x="18"/>
        <item x="0"/>
        <item x="6"/>
        <item x="20"/>
        <item x="15"/>
        <item x="9"/>
        <item x="1"/>
        <item x="12"/>
        <item x="8"/>
        <item x="4"/>
        <item x="11"/>
        <item x="17"/>
        <item x="19"/>
        <item x="23"/>
        <item x="16"/>
        <item x="26"/>
        <item x="5"/>
        <item x="2"/>
        <item x="25"/>
        <item t="default"/>
      </items>
    </pivotField>
    <pivotField axis="axisRow" showAll="0">
      <items count="5">
        <item x="3"/>
        <item x="2"/>
        <item x="1"/>
        <item x="0"/>
        <item t="default"/>
      </items>
    </pivotField>
    <pivotField showAll="0"/>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Revenue" fld="6" baseField="0" baseItem="0"/>
  </dataFields>
  <chartFormats count="1">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0135A1E-44EB-4725-B334-188B97565910}" name="PivotTable9"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W19:X24" firstHeaderRow="1" firstDataRow="1" firstDataCol="1"/>
  <pivotFields count="11">
    <pivotField dataField="1"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xis="axisRow" showAll="0">
      <items count="6">
        <item x="2"/>
        <item x="0"/>
        <item x="1"/>
        <item x="3"/>
        <item x="4"/>
        <item t="default"/>
      </items>
    </pivotField>
    <pivotField showAll="0"/>
    <pivotField showAll="0"/>
    <pivotField numFmtId="14" showAll="0">
      <items count="31">
        <item x="18"/>
        <item x="7"/>
        <item x="15"/>
        <item x="23"/>
        <item x="19"/>
        <item x="9"/>
        <item x="12"/>
        <item x="14"/>
        <item x="3"/>
        <item x="8"/>
        <item x="17"/>
        <item x="21"/>
        <item x="2"/>
        <item x="26"/>
        <item x="20"/>
        <item x="4"/>
        <item x="28"/>
        <item x="16"/>
        <item x="22"/>
        <item x="0"/>
        <item x="11"/>
        <item x="1"/>
        <item x="5"/>
        <item x="6"/>
        <item x="13"/>
        <item x="25"/>
        <item x="27"/>
        <item x="24"/>
        <item x="29"/>
        <item x="10"/>
        <item t="default"/>
      </items>
    </pivotField>
    <pivotField showAll="0">
      <items count="22">
        <item x="10"/>
        <item x="11"/>
        <item x="7"/>
        <item x="14"/>
        <item x="13"/>
        <item x="12"/>
        <item x="6"/>
        <item x="3"/>
        <item x="15"/>
        <item x="19"/>
        <item x="17"/>
        <item x="0"/>
        <item x="16"/>
        <item x="9"/>
        <item x="4"/>
        <item x="1"/>
        <item x="5"/>
        <item x="18"/>
        <item x="8"/>
        <item x="20"/>
        <item x="2"/>
        <item t="default"/>
      </items>
    </pivotField>
    <pivotField showAll="0"/>
    <pivotField showAll="0"/>
    <pivotField showAll="0" defaultSubtotal="0"/>
    <pivotField showAll="0" defaultSubtotal="0"/>
    <pivotField showAll="0" defaultSubtotal="0">
      <items count="8">
        <item x="0"/>
        <item x="1"/>
        <item x="2"/>
        <item x="3"/>
        <item x="4"/>
        <item x="5"/>
        <item x="6"/>
        <item x="7"/>
      </items>
    </pivotField>
  </pivotFields>
  <rowFields count="1">
    <field x="1"/>
  </rowFields>
  <rowItems count="5">
    <i>
      <x/>
    </i>
    <i>
      <x v="1"/>
    </i>
    <i>
      <x v="3"/>
    </i>
    <i>
      <x v="4"/>
    </i>
    <i t="grand">
      <x/>
    </i>
  </rowItems>
  <colItems count="1">
    <i/>
  </colItems>
  <dataFields count="1">
    <dataField name="Count of Employee ID" fld="0" subtotal="count" baseField="0" baseItem="0"/>
  </dataFields>
  <pivotTableStyleInfo name="PivotStyleLight16" showRowHeaders="1" showColHeaders="1" showRowStripes="0" showColStripes="0" showLastColumn="1"/>
  <filters count="1">
    <filter fld="4" type="dateBetween" evalOrder="-1" id="18" name="Join Date">
      <autoFilter ref="A1">
        <filterColumn colId="0">
          <customFilters and="1">
            <customFilter operator="greaterThanOrEqual" val="43831"/>
            <customFilter operator="lessThanOrEqual" val="4404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C724F97-6B04-4025-982E-5E7099307671}"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Year" colHeaderCaption="">
  <location ref="K23:Q31" firstHeaderRow="1" firstDataRow="2" firstDataCol="1" rowPageCount="1" colPageCount="1"/>
  <pivotFields count="11">
    <pivotField dataField="1"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xis="axisCol" showAll="0">
      <items count="6">
        <item x="2"/>
        <item x="0"/>
        <item x="1"/>
        <item x="3"/>
        <item x="4"/>
        <item t="default"/>
      </items>
    </pivotField>
    <pivotField showAll="0">
      <items count="3">
        <item x="0"/>
        <item x="1"/>
        <item t="default"/>
      </items>
    </pivotField>
    <pivotField showAll="0"/>
    <pivotField numFmtId="14" showAll="0"/>
    <pivotField showAll="0">
      <items count="22">
        <item x="10"/>
        <item x="11"/>
        <item x="7"/>
        <item x="14"/>
        <item x="13"/>
        <item x="12"/>
        <item x="6"/>
        <item x="3"/>
        <item x="15"/>
        <item x="19"/>
        <item x="17"/>
        <item x="0"/>
        <item x="16"/>
        <item x="9"/>
        <item x="4"/>
        <item x="1"/>
        <item x="5"/>
        <item x="18"/>
        <item x="8"/>
        <item x="20"/>
        <item x="2"/>
        <item t="default"/>
      </items>
    </pivotField>
    <pivotField axis="axisPage" showAll="0">
      <items count="3">
        <item x="1"/>
        <item x="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9">
        <item sd="0" x="0"/>
        <item sd="0" x="1"/>
        <item sd="0" x="2"/>
        <item sd="0" x="3"/>
        <item sd="0" x="4"/>
        <item sd="0" x="5"/>
        <item sd="0" x="6"/>
        <item sd="0" x="7"/>
        <item t="default"/>
      </items>
    </pivotField>
  </pivotFields>
  <rowFields count="1">
    <field x="10"/>
  </rowFields>
  <rowItems count="7">
    <i>
      <x v="1"/>
    </i>
    <i>
      <x v="2"/>
    </i>
    <i>
      <x v="3"/>
    </i>
    <i>
      <x v="4"/>
    </i>
    <i>
      <x v="5"/>
    </i>
    <i>
      <x v="6"/>
    </i>
    <i t="grand">
      <x/>
    </i>
  </rowItems>
  <colFields count="1">
    <field x="1"/>
  </colFields>
  <colItems count="6">
    <i>
      <x/>
    </i>
    <i>
      <x v="1"/>
    </i>
    <i>
      <x v="2"/>
    </i>
    <i>
      <x v="3"/>
    </i>
    <i>
      <x v="4"/>
    </i>
    <i t="grand">
      <x/>
    </i>
  </colItems>
  <pageFields count="1">
    <pageField fld="6" item="1" hier="-1"/>
  </pageFields>
  <dataFields count="1">
    <dataField name="Count of Employee" fld="0" subtotal="count" baseField="0" baseItem="0"/>
  </dataField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2"/>
          </reference>
        </references>
      </pivotArea>
    </chartFormat>
    <chartFormat chart="1" format="3" series="1">
      <pivotArea type="data" outline="0" fieldPosition="0">
        <references count="2">
          <reference field="4294967294" count="1" selected="0">
            <x v="0"/>
          </reference>
          <reference field="1" count="1" selected="0">
            <x v="3"/>
          </reference>
        </references>
      </pivotArea>
    </chartFormat>
    <chartFormat chart="1" format="4" series="1">
      <pivotArea type="data" outline="0" fieldPosition="0">
        <references count="2">
          <reference field="4294967294" count="1" selected="0">
            <x v="0"/>
          </reference>
          <reference field="1" count="1" selected="0">
            <x v="4"/>
          </reference>
        </references>
      </pivotArea>
    </chartFormat>
    <chartFormat chart="1" format="5" series="1">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269C9C3-03E7-496B-B44F-D172BF3EAC75}"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colHeaderCaption="">
  <location ref="N3:P9" firstHeaderRow="0" firstDataRow="1" firstDataCol="1"/>
  <pivotFields count="11">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xis="axisRow" showAll="0">
      <items count="6">
        <item x="2"/>
        <item x="0"/>
        <item x="1"/>
        <item x="3"/>
        <item x="4"/>
        <item t="default"/>
      </items>
    </pivotField>
    <pivotField showAll="0">
      <items count="3">
        <item x="0"/>
        <item x="1"/>
        <item t="default"/>
      </items>
    </pivotField>
    <pivotField dataField="1" showAll="0"/>
    <pivotField numFmtId="14" showAll="0"/>
    <pivotField showAll="0">
      <items count="22">
        <item x="10"/>
        <item x="11"/>
        <item x="7"/>
        <item x="14"/>
        <item x="13"/>
        <item x="12"/>
        <item x="6"/>
        <item x="3"/>
        <item x="15"/>
        <item x="19"/>
        <item x="17"/>
        <item x="0"/>
        <item x="16"/>
        <item x="9"/>
        <item x="4"/>
        <item x="1"/>
        <item x="5"/>
        <item x="18"/>
        <item x="8"/>
        <item x="20"/>
        <item x="2"/>
        <item t="default"/>
      </items>
    </pivotField>
    <pivotField showAll="0">
      <items count="3">
        <item x="1"/>
        <item x="0"/>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1"/>
  </rowFields>
  <rowItems count="6">
    <i>
      <x/>
    </i>
    <i>
      <x v="1"/>
    </i>
    <i>
      <x v="2"/>
    </i>
    <i>
      <x v="3"/>
    </i>
    <i>
      <x v="4"/>
    </i>
    <i t="grand">
      <x/>
    </i>
  </rowItems>
  <colFields count="1">
    <field x="-2"/>
  </colFields>
  <colItems count="2">
    <i>
      <x/>
    </i>
    <i i="1">
      <x v="1"/>
    </i>
  </colItems>
  <dataFields count="2">
    <dataField name="Average of Age" fld="3" subtotal="average" baseField="1" baseItem="0"/>
    <dataField name="Average of Salary" fld="7" subtotal="average" baseField="1" baseItem="0"/>
  </dataFields>
  <formats count="3">
    <format dxfId="29">
      <pivotArea collapsedLevelsAreSubtotals="1" fieldPosition="0">
        <references count="1">
          <reference field="1" count="0"/>
        </references>
      </pivotArea>
    </format>
    <format dxfId="28">
      <pivotArea field="1" grandRow="1" outline="0" collapsedLevelsAreSubtotals="1" axis="axisRow" fieldPosition="0">
        <references count="1">
          <reference field="4294967294" count="1" selected="0">
            <x v="1"/>
          </reference>
        </references>
      </pivotArea>
    </format>
    <format dxfId="27">
      <pivotArea field="1" grandRow="1" outline="0" collapsedLevelsAreSubtotals="1" axis="axisRow"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D1073E-A5F5-47A5-8C28-8CD19173C0FF}"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Department" colHeaderCaption="">
  <location ref="K11:N18" firstHeaderRow="1" firstDataRow="2" firstDataCol="1"/>
  <pivotFields count="11">
    <pivotField dataField="1"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xis="axisRow" showAll="0">
      <items count="6">
        <item x="2"/>
        <item x="0"/>
        <item x="1"/>
        <item x="3"/>
        <item x="4"/>
        <item t="default"/>
      </items>
    </pivotField>
    <pivotField axis="axisCol" showAll="0">
      <items count="3">
        <item x="0"/>
        <item x="1"/>
        <item t="default"/>
      </items>
    </pivotField>
    <pivotField showAll="0"/>
    <pivotField numFmtId="14" showAll="0"/>
    <pivotField showAll="0">
      <items count="22">
        <item x="10"/>
        <item x="11"/>
        <item x="7"/>
        <item x="14"/>
        <item x="13"/>
        <item x="12"/>
        <item x="6"/>
        <item x="3"/>
        <item x="15"/>
        <item x="19"/>
        <item x="17"/>
        <item x="0"/>
        <item x="16"/>
        <item x="9"/>
        <item x="4"/>
        <item x="1"/>
        <item x="5"/>
        <item x="18"/>
        <item x="8"/>
        <item x="20"/>
        <item x="2"/>
        <item t="default"/>
      </items>
    </pivotField>
    <pivotField showAll="0">
      <items count="3">
        <item x="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1"/>
  </rowFields>
  <rowItems count="6">
    <i>
      <x/>
    </i>
    <i>
      <x v="1"/>
    </i>
    <i>
      <x v="2"/>
    </i>
    <i>
      <x v="3"/>
    </i>
    <i>
      <x v="4"/>
    </i>
    <i t="grand">
      <x/>
    </i>
  </rowItems>
  <colFields count="1">
    <field x="2"/>
  </colFields>
  <colItems count="3">
    <i>
      <x/>
    </i>
    <i>
      <x v="1"/>
    </i>
    <i t="grand">
      <x/>
    </i>
  </colItems>
  <dataFields count="1">
    <dataField name="Count of Employee" fld="0" subtotal="count" baseField="0" baseItem="0"/>
  </dataFields>
  <chartFormats count="12">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2" format="2">
      <pivotArea type="data" outline="0" fieldPosition="0">
        <references count="3">
          <reference field="4294967294" count="1" selected="0">
            <x v="0"/>
          </reference>
          <reference field="1" count="1" selected="0">
            <x v="0"/>
          </reference>
          <reference field="2" count="1" selected="0">
            <x v="0"/>
          </reference>
        </references>
      </pivotArea>
    </chartFormat>
    <chartFormat chart="2" format="3">
      <pivotArea type="data" outline="0" fieldPosition="0">
        <references count="3">
          <reference field="4294967294" count="1" selected="0">
            <x v="0"/>
          </reference>
          <reference field="1" count="1" selected="0">
            <x v="1"/>
          </reference>
          <reference field="2" count="1" selected="0">
            <x v="0"/>
          </reference>
        </references>
      </pivotArea>
    </chartFormat>
    <chartFormat chart="2" format="4">
      <pivotArea type="data" outline="0" fieldPosition="0">
        <references count="3">
          <reference field="4294967294" count="1" selected="0">
            <x v="0"/>
          </reference>
          <reference field="1" count="1" selected="0">
            <x v="2"/>
          </reference>
          <reference field="2" count="1" selected="0">
            <x v="0"/>
          </reference>
        </references>
      </pivotArea>
    </chartFormat>
    <chartFormat chart="2" format="5">
      <pivotArea type="data" outline="0" fieldPosition="0">
        <references count="3">
          <reference field="4294967294" count="1" selected="0">
            <x v="0"/>
          </reference>
          <reference field="1" count="1" selected="0">
            <x v="3"/>
          </reference>
          <reference field="2" count="1" selected="0">
            <x v="0"/>
          </reference>
        </references>
      </pivotArea>
    </chartFormat>
    <chartFormat chart="2" format="6">
      <pivotArea type="data" outline="0" fieldPosition="0">
        <references count="3">
          <reference field="4294967294" count="1" selected="0">
            <x v="0"/>
          </reference>
          <reference field="1" count="1" selected="0">
            <x v="4"/>
          </reference>
          <reference field="2" count="1" selected="0">
            <x v="0"/>
          </reference>
        </references>
      </pivotArea>
    </chartFormat>
    <chartFormat chart="2" format="7">
      <pivotArea type="data" outline="0" fieldPosition="0">
        <references count="3">
          <reference field="4294967294" count="1" selected="0">
            <x v="0"/>
          </reference>
          <reference field="1" count="1" selected="0">
            <x v="0"/>
          </reference>
          <reference field="2" count="1" selected="0">
            <x v="1"/>
          </reference>
        </references>
      </pivotArea>
    </chartFormat>
    <chartFormat chart="2" format="8">
      <pivotArea type="data" outline="0" fieldPosition="0">
        <references count="3">
          <reference field="4294967294" count="1" selected="0">
            <x v="0"/>
          </reference>
          <reference field="1" count="1" selected="0">
            <x v="1"/>
          </reference>
          <reference field="2" count="1" selected="0">
            <x v="1"/>
          </reference>
        </references>
      </pivotArea>
    </chartFormat>
    <chartFormat chart="2" format="9">
      <pivotArea type="data" outline="0" fieldPosition="0">
        <references count="3">
          <reference field="4294967294" count="1" selected="0">
            <x v="0"/>
          </reference>
          <reference field="1" count="1" selected="0">
            <x v="2"/>
          </reference>
          <reference field="2" count="1" selected="0">
            <x v="1"/>
          </reference>
        </references>
      </pivotArea>
    </chartFormat>
    <chartFormat chart="2" format="10">
      <pivotArea type="data" outline="0" fieldPosition="0">
        <references count="3">
          <reference field="4294967294" count="1" selected="0">
            <x v="0"/>
          </reference>
          <reference field="1" count="1" selected="0">
            <x v="3"/>
          </reference>
          <reference field="2" count="1" selected="0">
            <x v="1"/>
          </reference>
        </references>
      </pivotArea>
    </chartFormat>
    <chartFormat chart="2" format="11">
      <pivotArea type="data" outline="0" fieldPosition="0">
        <references count="3">
          <reference field="4294967294" count="1" selected="0">
            <x v="0"/>
          </reference>
          <reference field="1" count="1" selected="0">
            <x v="4"/>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FC4E5F0-3E36-4769-A611-71EBF97119C6}"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location ref="K3:L8" firstHeaderRow="1" firstDataRow="1" firstDataCol="1" rowPageCount="1" colPageCount="1"/>
  <pivotFields count="11">
    <pivotField dataField="1"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xis="axisRow" showAll="0">
      <items count="6">
        <item x="2"/>
        <item x="0"/>
        <item x="1"/>
        <item x="3"/>
        <item x="4"/>
        <item t="default"/>
      </items>
    </pivotField>
    <pivotField showAll="0"/>
    <pivotField showAll="0"/>
    <pivotField numFmtId="14" showAll="0"/>
    <pivotField showAll="0">
      <items count="22">
        <item x="10"/>
        <item x="11"/>
        <item x="7"/>
        <item x="14"/>
        <item x="13"/>
        <item x="12"/>
        <item x="6"/>
        <item x="3"/>
        <item x="15"/>
        <item x="19"/>
        <item x="17"/>
        <item x="0"/>
        <item x="16"/>
        <item x="9"/>
        <item x="4"/>
        <item x="1"/>
        <item x="5"/>
        <item x="18"/>
        <item x="8"/>
        <item x="20"/>
        <item x="2"/>
        <item t="default"/>
      </items>
    </pivotField>
    <pivotField axis="axisPage" showAll="0">
      <items count="3">
        <item x="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1"/>
  </rowFields>
  <rowItems count="5">
    <i>
      <x v="1"/>
    </i>
    <i>
      <x v="2"/>
    </i>
    <i>
      <x v="3"/>
    </i>
    <i>
      <x v="4"/>
    </i>
    <i t="grand">
      <x/>
    </i>
  </rowItems>
  <colItems count="1">
    <i/>
  </colItems>
  <pageFields count="1">
    <pageField fld="6" item="0" hier="-1"/>
  </pageFields>
  <dataFields count="1">
    <dataField name="Count of Employe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3A39D35-AA65-456F-9524-9160592F90BB}" name="Last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roduct Category">
  <location ref="AC4:AD16" firstHeaderRow="1" firstDataRow="1" firstDataCol="1"/>
  <pivotFields count="10">
    <pivotField axis="axisRow"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items count="4">
        <item x="0"/>
        <item x="1"/>
        <item x="2"/>
        <item t="default"/>
      </items>
    </pivotField>
    <pivotField showAll="0">
      <items count="4">
        <item h="1" x="0"/>
        <item x="1"/>
        <item h="1" x="2"/>
        <item t="default"/>
      </items>
    </pivotField>
    <pivotField showAll="0"/>
    <pivotField showAll="0"/>
    <pivotField showAll="0"/>
    <pivotField numFmtId="14" showAll="0">
      <items count="31">
        <item x="26"/>
        <item x="11"/>
        <item x="29"/>
        <item x="10"/>
        <item x="9"/>
        <item x="16"/>
        <item x="2"/>
        <item x="24"/>
        <item x="17"/>
        <item x="18"/>
        <item x="14"/>
        <item x="12"/>
        <item x="20"/>
        <item x="8"/>
        <item x="22"/>
        <item x="25"/>
        <item x="28"/>
        <item x="13"/>
        <item x="0"/>
        <item x="19"/>
        <item x="1"/>
        <item x="6"/>
        <item x="3"/>
        <item x="7"/>
        <item x="15"/>
        <item x="21"/>
        <item x="27"/>
        <item x="5"/>
        <item x="4"/>
        <item x="23"/>
        <item t="default"/>
      </items>
    </pivotField>
    <pivotField dataField="1" showAll="0"/>
    <pivotField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dragToRow="0" dragToCol="0" dragToPage="0" showAll="0" defaultSubtotal="0"/>
  </pivotFields>
  <rowFields count="1">
    <field x="0"/>
  </rowFields>
  <rowItems count="12">
    <i>
      <x v="1"/>
    </i>
    <i>
      <x v="5"/>
    </i>
    <i>
      <x v="7"/>
    </i>
    <i>
      <x v="9"/>
    </i>
    <i>
      <x v="10"/>
    </i>
    <i>
      <x v="11"/>
    </i>
    <i>
      <x v="12"/>
    </i>
    <i>
      <x v="13"/>
    </i>
    <i>
      <x v="22"/>
    </i>
    <i>
      <x v="24"/>
    </i>
    <i>
      <x v="27"/>
    </i>
    <i t="grand">
      <x/>
    </i>
  </rowItems>
  <colItems count="1">
    <i/>
  </colItems>
  <dataFields count="1">
    <dataField name="Sum of Closing Stock"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41ED063-A1D1-415E-86B6-3B4EC155BA2E}"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Weekly Products">
  <location ref="K16:N40" firstHeaderRow="0" firstDataRow="1" firstDataCol="1"/>
  <pivotFields count="10">
    <pivotField showAll="0"/>
    <pivotField showAll="0">
      <items count="4">
        <item x="0"/>
        <item x="1"/>
        <item x="2"/>
        <item t="default"/>
      </items>
    </pivotField>
    <pivotField showAll="0"/>
    <pivotField showAll="0"/>
    <pivotField dataField="1" showAll="0"/>
    <pivotField dataField="1" showAll="0"/>
    <pivotField numFmtId="14" showAll="0">
      <items count="31">
        <item x="26"/>
        <item x="11"/>
        <item x="29"/>
        <item x="10"/>
        <item x="9"/>
        <item x="16"/>
        <item x="2"/>
        <item x="24"/>
        <item x="17"/>
        <item x="18"/>
        <item x="14"/>
        <item x="12"/>
        <item x="20"/>
        <item x="8"/>
        <item x="22"/>
        <item x="25"/>
        <item x="28"/>
        <item x="13"/>
        <item x="0"/>
        <item x="19"/>
        <item x="1"/>
        <item x="6"/>
        <item x="3"/>
        <item x="7"/>
        <item x="15"/>
        <item x="21"/>
        <item x="27"/>
        <item x="5"/>
        <item x="4"/>
        <item x="23"/>
        <item t="default"/>
      </items>
    </pivotField>
    <pivotField showAll="0"/>
    <pivotField axis="axisRow" showAll="0" defaultSubtota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s>
    </pivotField>
    <pivotField dataField="1" dragToRow="0" dragToCol="0" dragToPage="0" showAll="0" defaultSubtotal="0"/>
  </pivotFields>
  <rowFields count="1">
    <field x="8"/>
  </rowFields>
  <rowItems count="24">
    <i>
      <x v="1"/>
    </i>
    <i>
      <x v="2"/>
    </i>
    <i>
      <x v="6"/>
    </i>
    <i>
      <x v="7"/>
    </i>
    <i>
      <x v="8"/>
    </i>
    <i>
      <x v="10"/>
    </i>
    <i>
      <x v="13"/>
    </i>
    <i>
      <x v="15"/>
    </i>
    <i>
      <x v="17"/>
    </i>
    <i>
      <x v="23"/>
    </i>
    <i>
      <x v="24"/>
    </i>
    <i>
      <x v="27"/>
    </i>
    <i>
      <x v="31"/>
    </i>
    <i>
      <x v="32"/>
    </i>
    <i>
      <x v="33"/>
    </i>
    <i>
      <x v="37"/>
    </i>
    <i>
      <x v="40"/>
    </i>
    <i>
      <x v="42"/>
    </i>
    <i>
      <x v="45"/>
    </i>
    <i>
      <x v="47"/>
    </i>
    <i>
      <x v="48"/>
    </i>
    <i>
      <x v="49"/>
    </i>
    <i>
      <x v="50"/>
    </i>
    <i t="grand">
      <x/>
    </i>
  </rowItems>
  <colFields count="1">
    <field x="-2"/>
  </colFields>
  <colItems count="3">
    <i>
      <x/>
    </i>
    <i i="1">
      <x v="1"/>
    </i>
    <i i="2">
      <x v="2"/>
    </i>
  </colItems>
  <dataFields count="3">
    <dataField name="Sum of Quantity Purchased" fld="5" baseField="0" baseItem="0"/>
    <dataField name="Sum of Quantity Sold" fld="4" baseField="0" baseItem="0"/>
    <dataField name="Sum of Net movement" fld="9" baseField="0" baseItem="0"/>
  </dataFields>
  <chartFormats count="3">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C28C471-B4EE-48C2-BB3E-3D8CD4EBF508}"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Category">
  <location ref="K9:L13" firstHeaderRow="1" firstDataRow="1" firstDataCol="1"/>
  <pivotFields count="10">
    <pivotField showAll="0"/>
    <pivotField axis="axisRow" showAll="0">
      <items count="4">
        <item x="0"/>
        <item x="1"/>
        <item x="2"/>
        <item t="default"/>
      </items>
    </pivotField>
    <pivotField showAll="0"/>
    <pivotField showAll="0"/>
    <pivotField showAll="0"/>
    <pivotField showAll="0"/>
    <pivotField numFmtId="14" showAll="0">
      <items count="31">
        <item x="26"/>
        <item x="11"/>
        <item x="29"/>
        <item x="10"/>
        <item x="9"/>
        <item x="16"/>
        <item x="2"/>
        <item x="24"/>
        <item x="17"/>
        <item x="18"/>
        <item x="14"/>
        <item x="12"/>
        <item x="20"/>
        <item x="8"/>
        <item x="22"/>
        <item x="25"/>
        <item x="28"/>
        <item x="13"/>
        <item x="0"/>
        <item x="19"/>
        <item x="1"/>
        <item x="6"/>
        <item x="3"/>
        <item x="7"/>
        <item x="15"/>
        <item x="21"/>
        <item x="27"/>
        <item x="5"/>
        <item x="4"/>
        <item x="23"/>
        <item t="default"/>
      </items>
    </pivotField>
    <pivotField dataField="1" showAll="0"/>
    <pivotField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dragToRow="0" dragToCol="0" dragToPage="0" showAll="0" defaultSubtotal="0"/>
  </pivotFields>
  <rowFields count="1">
    <field x="1"/>
  </rowFields>
  <rowItems count="4">
    <i>
      <x/>
    </i>
    <i>
      <x v="1"/>
    </i>
    <i>
      <x v="2"/>
    </i>
    <i t="grand">
      <x/>
    </i>
  </rowItems>
  <colItems count="1">
    <i/>
  </colItems>
  <dataFields count="1">
    <dataField name="Sum of Closing Stock"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D070898-CDD6-4081-9BFB-E436F69D086F}"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roduct Category">
  <location ref="K2:M6" firstHeaderRow="0" firstDataRow="1" firstDataCol="1"/>
  <pivotFields count="10">
    <pivotField showAll="0"/>
    <pivotField axis="axisRow" showAll="0">
      <items count="4">
        <item x="0"/>
        <item x="1"/>
        <item x="2"/>
        <item t="default"/>
      </items>
    </pivotField>
    <pivotField showAll="0">
      <items count="4">
        <item h="1" x="0"/>
        <item x="1"/>
        <item h="1" x="2"/>
        <item t="default"/>
      </items>
    </pivotField>
    <pivotField showAll="0"/>
    <pivotField dataField="1" showAll="0"/>
    <pivotField dataField="1" showAll="0"/>
    <pivotField numFmtId="14" showAll="0">
      <items count="31">
        <item x="26"/>
        <item x="11"/>
        <item x="29"/>
        <item x="10"/>
        <item x="9"/>
        <item x="16"/>
        <item x="2"/>
        <item x="24"/>
        <item x="17"/>
        <item x="18"/>
        <item x="14"/>
        <item x="12"/>
        <item x="20"/>
        <item x="8"/>
        <item x="22"/>
        <item x="25"/>
        <item x="28"/>
        <item x="13"/>
        <item x="0"/>
        <item x="19"/>
        <item x="1"/>
        <item x="6"/>
        <item x="3"/>
        <item x="7"/>
        <item x="15"/>
        <item x="21"/>
        <item x="27"/>
        <item x="5"/>
        <item x="4"/>
        <item x="23"/>
        <item t="default"/>
      </items>
    </pivotField>
    <pivotField showAll="0"/>
    <pivotField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dragToRow="0" dragToCol="0" dragToPage="0" showAll="0" defaultSubtotal="0"/>
  </pivotFields>
  <rowFields count="1">
    <field x="1"/>
  </rowFields>
  <rowItems count="4">
    <i>
      <x/>
    </i>
    <i>
      <x v="1"/>
    </i>
    <i>
      <x v="2"/>
    </i>
    <i t="grand">
      <x/>
    </i>
  </rowItems>
  <colFields count="1">
    <field x="-2"/>
  </colFields>
  <colItems count="2">
    <i>
      <x/>
    </i>
    <i i="1">
      <x v="1"/>
    </i>
  </colItems>
  <dataFields count="2">
    <dataField name="Sum of Quantity Purchased" fld="5" baseField="0" baseItem="0"/>
    <dataField name="Sum of Quantity Sold" fld="4" baseField="0" baseItem="0"/>
  </dataField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289CF92-7269-47B3-BBF4-5E0A9CB4D3BE}"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 colHeaderCaption="">
  <location ref="I3:K8" firstHeaderRow="0" firstDataRow="1" firstDataCol="1"/>
  <pivotFields count="9">
    <pivotField axis="axisRow" showAll="0">
      <items count="5">
        <item x="1"/>
        <item x="0"/>
        <item x="3"/>
        <item x="2"/>
        <item t="default"/>
      </items>
    </pivotField>
    <pivotField showAll="0"/>
    <pivotField dataField="1" showAll="0">
      <items count="31">
        <item x="12"/>
        <item x="3"/>
        <item x="7"/>
        <item x="15"/>
        <item x="24"/>
        <item x="6"/>
        <item x="9"/>
        <item x="10"/>
        <item x="21"/>
        <item x="16"/>
        <item x="28"/>
        <item x="0"/>
        <item x="18"/>
        <item x="25"/>
        <item x="27"/>
        <item x="8"/>
        <item x="20"/>
        <item x="23"/>
        <item x="4"/>
        <item x="22"/>
        <item x="19"/>
        <item x="17"/>
        <item x="11"/>
        <item x="26"/>
        <item x="1"/>
        <item x="29"/>
        <item x="14"/>
        <item x="2"/>
        <item x="13"/>
        <item x="5"/>
        <item t="default"/>
      </items>
    </pivotField>
    <pivotField dataField="1" showAll="0">
      <items count="31">
        <item x="19"/>
        <item x="12"/>
        <item x="25"/>
        <item x="0"/>
        <item x="21"/>
        <item x="11"/>
        <item x="16"/>
        <item x="3"/>
        <item x="27"/>
        <item x="15"/>
        <item x="14"/>
        <item x="23"/>
        <item x="22"/>
        <item x="13"/>
        <item x="2"/>
        <item x="9"/>
        <item x="20"/>
        <item x="1"/>
        <item x="10"/>
        <item x="4"/>
        <item x="7"/>
        <item x="6"/>
        <item x="8"/>
        <item x="29"/>
        <item x="26"/>
        <item x="5"/>
        <item x="18"/>
        <item x="24"/>
        <item x="28"/>
        <item x="17"/>
        <item t="default"/>
      </items>
    </pivotField>
    <pivotField numFmtId="14" showAll="0">
      <items count="30">
        <item x="9"/>
        <item x="12"/>
        <item x="23"/>
        <item x="4"/>
        <item x="5"/>
        <item x="18"/>
        <item x="24"/>
        <item x="21"/>
        <item x="0"/>
        <item x="6"/>
        <item x="1"/>
        <item x="26"/>
        <item x="28"/>
        <item x="2"/>
        <item x="16"/>
        <item x="19"/>
        <item x="11"/>
        <item x="13"/>
        <item x="20"/>
        <item x="8"/>
        <item x="22"/>
        <item x="14"/>
        <item x="10"/>
        <item x="17"/>
        <item x="15"/>
        <item x="25"/>
        <item x="7"/>
        <item x="27"/>
        <item x="3"/>
        <item t="default"/>
      </items>
    </pivotField>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0"/>
  </rowFields>
  <rowItems count="5">
    <i>
      <x/>
    </i>
    <i>
      <x v="1"/>
    </i>
    <i>
      <x v="2"/>
    </i>
    <i>
      <x v="3"/>
    </i>
    <i t="grand">
      <x/>
    </i>
  </rowItems>
  <colFields count="1">
    <field x="-2"/>
  </colFields>
  <colItems count="2">
    <i>
      <x/>
    </i>
    <i i="1">
      <x v="1"/>
    </i>
  </colItems>
  <dataFields count="2">
    <dataField name="Sum of Expense Amount" fld="2" baseField="0" baseItem="0"/>
    <dataField name="Sum of Budget" fld="3" baseField="0" baseItem="0"/>
  </dataFields>
  <chartFormats count="2">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C36E976-D3DE-497D-A823-E10D543BC150}"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location ref="W9:X14" firstHeaderRow="1" firstDataRow="1" firstDataCol="1"/>
  <pivotFields count="9">
    <pivotField axis="axisRow" showAll="0">
      <items count="5">
        <item x="1"/>
        <item x="0"/>
        <item x="3"/>
        <item x="2"/>
        <item t="default"/>
      </items>
    </pivotField>
    <pivotField showAll="0"/>
    <pivotField showAll="0"/>
    <pivotField showAll="0"/>
    <pivotField showAll="0">
      <items count="30">
        <item x="9"/>
        <item x="12"/>
        <item x="23"/>
        <item x="4"/>
        <item x="5"/>
        <item x="18"/>
        <item x="24"/>
        <item x="21"/>
        <item x="0"/>
        <item x="6"/>
        <item x="1"/>
        <item x="26"/>
        <item x="28"/>
        <item x="2"/>
        <item x="16"/>
        <item x="19"/>
        <item x="11"/>
        <item x="13"/>
        <item x="20"/>
        <item x="8"/>
        <item x="22"/>
        <item x="14"/>
        <item x="10"/>
        <item x="17"/>
        <item x="15"/>
        <item x="25"/>
        <item x="7"/>
        <item x="27"/>
        <item x="3"/>
        <item t="default"/>
      </items>
    </pivotField>
    <pivotField showAl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0"/>
  </rowFields>
  <rowItems count="5">
    <i>
      <x/>
    </i>
    <i>
      <x v="1"/>
    </i>
    <i>
      <x v="2"/>
    </i>
    <i>
      <x v="3"/>
    </i>
    <i t="grand">
      <x/>
    </i>
  </rowItems>
  <colItems count="1">
    <i/>
  </colItems>
  <dataFields count="1">
    <dataField name="Sum of % Budget Used" fld="6" baseField="0" baseItem="0" numFmtId="10"/>
  </dataFields>
  <formats count="2">
    <format dxfId="14">
      <pivotArea outline="0" collapsedLevelsAreSubtotals="1" fieldPosition="0">
        <references count="1">
          <reference field="4294967294" count="1" selected="0">
            <x v="0"/>
          </reference>
        </references>
      </pivotArea>
    </format>
    <format dxfId="13">
      <pivotArea outline="0" fieldPosition="0">
        <references count="1">
          <reference field="4294967294" count="1">
            <x v="0"/>
          </reference>
        </references>
      </pivotArea>
    </format>
  </formats>
  <conditionalFormats count="3">
    <conditionalFormat priority="1">
      <pivotAreas count="1">
        <pivotArea type="data" collapsedLevelsAreSubtotals="1" fieldPosition="0">
          <references count="2">
            <reference field="4294967294" count="1" selected="0">
              <x v="0"/>
            </reference>
            <reference field="0" count="4">
              <x v="0"/>
              <x v="1"/>
              <x v="2"/>
              <x v="3"/>
            </reference>
          </references>
        </pivotArea>
      </pivotAreas>
    </conditionalFormat>
    <conditionalFormat priority="2">
      <pivotAreas count="1">
        <pivotArea type="data" collapsedLevelsAreSubtotals="1" fieldPosition="0">
          <references count="2">
            <reference field="4294967294" count="1" selected="0">
              <x v="0"/>
            </reference>
            <reference field="0" count="4">
              <x v="0"/>
              <x v="1"/>
              <x v="2"/>
              <x v="3"/>
            </reference>
          </references>
        </pivotArea>
      </pivotAreas>
    </conditionalFormat>
    <conditionalFormat priority="3">
      <pivotAreas count="1">
        <pivotArea type="data" collapsedLevelsAreSubtotals="1" fieldPosition="0">
          <references count="2">
            <reference field="4294967294" count="1" selected="0">
              <x v="0"/>
            </reference>
            <reference field="0" count="4">
              <x v="0"/>
              <x v="1"/>
              <x v="2"/>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DA1821B-62F7-4290-BD2A-C37EC2F769B5}"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location ref="I20:J25" firstHeaderRow="1" firstDataRow="1" firstDataCol="1"/>
  <pivotFields count="9">
    <pivotField showAll="0">
      <items count="5">
        <item x="1"/>
        <item x="0"/>
        <item x="3"/>
        <item x="2"/>
        <item t="default"/>
      </items>
    </pivotField>
    <pivotField showAll="0"/>
    <pivotField dataField="1" showAll="0"/>
    <pivotField showAll="0"/>
    <pivotField showAll="0">
      <items count="30">
        <item x="9"/>
        <item x="12"/>
        <item x="23"/>
        <item x="4"/>
        <item x="5"/>
        <item x="18"/>
        <item x="24"/>
        <item x="21"/>
        <item x="0"/>
        <item x="6"/>
        <item x="1"/>
        <item x="26"/>
        <item x="28"/>
        <item x="2"/>
        <item x="16"/>
        <item x="19"/>
        <item x="11"/>
        <item x="13"/>
        <item x="20"/>
        <item x="8"/>
        <item x="22"/>
        <item x="14"/>
        <item x="10"/>
        <item x="17"/>
        <item x="15"/>
        <item x="25"/>
        <item x="7"/>
        <item x="27"/>
        <item x="3"/>
        <item t="default"/>
      </items>
    </pivotField>
    <pivotField axis="axisRow" showAll="0">
      <items count="5">
        <item x="1"/>
        <item x="3"/>
        <item x="0"/>
        <item x="2"/>
        <item t="default"/>
      </items>
    </pivotField>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5"/>
  </rowFields>
  <rowItems count="5">
    <i>
      <x/>
    </i>
    <i>
      <x v="1"/>
    </i>
    <i>
      <x v="2"/>
    </i>
    <i>
      <x v="3"/>
    </i>
    <i t="grand">
      <x/>
    </i>
  </rowItems>
  <colItems count="1">
    <i/>
  </colItems>
  <dataFields count="1">
    <dataField name="Sum of Expense Amount"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6B01088-5699-446A-8FB7-BC6495BA8396}" name="PivotTable5"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Department">
  <location ref="N3:O11" firstHeaderRow="1" firstDataRow="1" firstDataCol="1"/>
  <pivotFields count="9">
    <pivotField showAll="0">
      <items count="5">
        <item x="1"/>
        <item x="0"/>
        <item x="3"/>
        <item x="2"/>
        <item t="default"/>
      </items>
    </pivotField>
    <pivotField showAll="0"/>
    <pivotField dataField="1" showAll="0"/>
    <pivotField showAll="0"/>
    <pivotField showAll="0">
      <items count="30">
        <item x="9"/>
        <item x="12"/>
        <item x="23"/>
        <item x="4"/>
        <item x="5"/>
        <item x="18"/>
        <item x="24"/>
        <item x="21"/>
        <item x="0"/>
        <item x="6"/>
        <item x="1"/>
        <item x="26"/>
        <item x="28"/>
        <item x="2"/>
        <item x="16"/>
        <item x="19"/>
        <item x="11"/>
        <item x="13"/>
        <item x="20"/>
        <item x="8"/>
        <item x="22"/>
        <item x="14"/>
        <item x="10"/>
        <item x="17"/>
        <item x="15"/>
        <item x="25"/>
        <item x="7"/>
        <item x="27"/>
        <item x="3"/>
        <item t="default"/>
      </items>
    </pivotField>
    <pivotField showAll="0"/>
    <pivotField dragToRow="0" dragToCol="0" dragToPage="0" showAll="0" defaultSubtota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4">
        <item sd="0" x="0"/>
        <item sd="0" x="1"/>
        <item sd="0" x="2"/>
        <item t="default"/>
      </items>
    </pivotField>
  </pivotFields>
  <rowFields count="1">
    <field x="7"/>
  </rowFields>
  <rowItems count="8">
    <i>
      <x v="6"/>
    </i>
    <i>
      <x v="7"/>
    </i>
    <i>
      <x v="8"/>
    </i>
    <i>
      <x v="9"/>
    </i>
    <i>
      <x v="10"/>
    </i>
    <i>
      <x v="11"/>
    </i>
    <i>
      <x v="12"/>
    </i>
    <i t="grand">
      <x/>
    </i>
  </rowItems>
  <colItems count="1">
    <i/>
  </colItems>
  <dataFields count="1">
    <dataField name="Sum of Expense Amount" fld="2" baseField="0" baseItem="0"/>
  </dataFields>
  <pivotTableStyleInfo name="PivotStyleLight16" showRowHeaders="1" showColHeaders="1" showRowStripes="0" showColStripes="0" showLastColumn="1"/>
  <filters count="1">
    <filter fld="4" type="dateBetween" evalOrder="-1" id="14" name="Date">
      <autoFilter ref="A1">
        <filterColumn colId="0">
          <customFilters and="1">
            <customFilter operator="greaterThanOrEqual" val="45078"/>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8039DA49-F0EC-4FF3-B869-CAE1E00F5660}"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location ref="I11:L16" firstHeaderRow="0" firstDataRow="1" firstDataCol="1"/>
  <pivotFields count="9">
    <pivotField axis="axisRow" showAll="0">
      <items count="5">
        <item x="1"/>
        <item x="0"/>
        <item x="3"/>
        <item x="2"/>
        <item t="default"/>
      </items>
    </pivotField>
    <pivotField showAll="0"/>
    <pivotField dataField="1" showAll="0"/>
    <pivotField dataField="1" showAll="0"/>
    <pivotField showAll="0">
      <items count="30">
        <item x="9"/>
        <item x="12"/>
        <item x="23"/>
        <item x="4"/>
        <item x="5"/>
        <item x="18"/>
        <item x="24"/>
        <item x="21"/>
        <item x="0"/>
        <item x="6"/>
        <item x="1"/>
        <item x="26"/>
        <item x="28"/>
        <item x="2"/>
        <item x="16"/>
        <item x="19"/>
        <item x="11"/>
        <item x="13"/>
        <item x="20"/>
        <item x="8"/>
        <item x="22"/>
        <item x="14"/>
        <item x="10"/>
        <item x="17"/>
        <item x="15"/>
        <item x="25"/>
        <item x="7"/>
        <item x="27"/>
        <item x="3"/>
        <item t="default"/>
      </items>
    </pivotField>
    <pivotField showAl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0"/>
  </rowFields>
  <rowItems count="5">
    <i>
      <x/>
    </i>
    <i>
      <x v="1"/>
    </i>
    <i>
      <x v="2"/>
    </i>
    <i>
      <x v="3"/>
    </i>
    <i t="grand">
      <x/>
    </i>
  </rowItems>
  <colFields count="1">
    <field x="-2"/>
  </colFields>
  <colItems count="3">
    <i>
      <x/>
    </i>
    <i i="1">
      <x v="1"/>
    </i>
    <i i="2">
      <x v="2"/>
    </i>
  </colItems>
  <dataFields count="3">
    <dataField name="Sum of Budget" fld="3" baseField="0" baseItem="0"/>
    <dataField name="Sum of Expense Amount" fld="2" baseField="0" baseItem="0"/>
    <dataField name="Sum of % Budget Used" fld="6" baseField="0" baseItem="0" numFmtId="10"/>
  </dataFields>
  <formats count="2">
    <format dxfId="16">
      <pivotArea outline="0" collapsedLevelsAreSubtotals="1" fieldPosition="0">
        <references count="1">
          <reference field="4294967294" count="1" selected="0">
            <x v="2"/>
          </reference>
        </references>
      </pivotArea>
    </format>
    <format dxfId="15">
      <pivotArea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62114B6-DD3D-4D8E-8025-86E393C0FA30}" name="PivotTable1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Customer">
  <location ref="O26:P31" firstHeaderRow="1" firstDataRow="1" firstDataCol="1" rowPageCount="1" colPageCount="1"/>
  <pivotFields count="10">
    <pivotField dataField="1"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xis="axisRow" showAll="0">
      <items count="6">
        <item x="0"/>
        <item x="4"/>
        <item x="2"/>
        <item x="3"/>
        <item x="1"/>
        <item t="default"/>
      </items>
    </pivotField>
    <pivotField numFmtId="14" showAll="0">
      <items count="31">
        <item x="17"/>
        <item x="2"/>
        <item x="27"/>
        <item x="15"/>
        <item x="21"/>
        <item x="0"/>
        <item x="24"/>
        <item x="1"/>
        <item x="10"/>
        <item x="23"/>
        <item x="26"/>
        <item x="20"/>
        <item x="6"/>
        <item x="8"/>
        <item x="12"/>
        <item x="16"/>
        <item x="22"/>
        <item x="7"/>
        <item x="13"/>
        <item x="18"/>
        <item x="9"/>
        <item x="3"/>
        <item x="11"/>
        <item x="25"/>
        <item x="14"/>
        <item x="4"/>
        <item x="28"/>
        <item x="5"/>
        <item x="29"/>
        <item x="19"/>
        <item t="default"/>
      </items>
    </pivotField>
    <pivotField numFmtId="14" showAll="0"/>
    <pivotField showAll="0">
      <items count="5">
        <item x="1"/>
        <item x="3"/>
        <item x="2"/>
        <item x="0"/>
        <item t="default"/>
      </items>
    </pivotField>
    <pivotField showAll="0"/>
    <pivotField axis="axisPage" showAll="0">
      <items count="3">
        <item x="1"/>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v="1"/>
    </i>
    <i>
      <x v="2"/>
    </i>
    <i>
      <x v="3"/>
    </i>
    <i>
      <x v="4"/>
    </i>
    <i t="grand">
      <x/>
    </i>
  </rowItems>
  <colItems count="1">
    <i/>
  </colItems>
  <pageFields count="1">
    <pageField fld="6" item="0" hier="-1"/>
  </pageFields>
  <dataFields count="1">
    <dataField name="Count of Order ID" fld="0" subtotal="count" baseField="0" baseItem="0"/>
  </dataField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297D94C3-1F8F-442D-9D8A-679D398AA02A}" name="PivotTable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ustomer Name">
  <location ref="K24:M35" firstHeaderRow="0" firstDataRow="1" firstDataCol="1"/>
  <pivotFields count="10">
    <pivotField dataField="1"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items count="6">
        <item x="0"/>
        <item x="4"/>
        <item x="2"/>
        <item x="3"/>
        <item x="1"/>
        <item t="default"/>
      </items>
    </pivotField>
    <pivotField numFmtId="14" showAll="0">
      <items count="31">
        <item x="17"/>
        <item x="2"/>
        <item x="27"/>
        <item x="15"/>
        <item x="21"/>
        <item x="0"/>
        <item x="24"/>
        <item x="1"/>
        <item x="10"/>
        <item x="23"/>
        <item x="26"/>
        <item x="20"/>
        <item x="6"/>
        <item x="8"/>
        <item x="12"/>
        <item x="16"/>
        <item x="22"/>
        <item x="7"/>
        <item x="13"/>
        <item x="18"/>
        <item x="9"/>
        <item x="3"/>
        <item x="11"/>
        <item x="25"/>
        <item x="14"/>
        <item x="4"/>
        <item x="28"/>
        <item x="5"/>
        <item x="29"/>
        <item x="19"/>
        <item t="default"/>
      </items>
    </pivotField>
    <pivotField numFmtId="14" showAll="0"/>
    <pivotField showAll="0"/>
    <pivotField dataField="1" showAll="0"/>
    <pivotField showAll="0">
      <items count="3">
        <item x="1"/>
        <item x="0"/>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11">
    <i>
      <x v="2"/>
    </i>
    <i>
      <x v="3"/>
    </i>
    <i>
      <x v="4"/>
    </i>
    <i>
      <x v="5"/>
    </i>
    <i>
      <x v="6"/>
    </i>
    <i>
      <x v="7"/>
    </i>
    <i>
      <x v="8"/>
    </i>
    <i>
      <x v="9"/>
    </i>
    <i>
      <x v="10"/>
    </i>
    <i>
      <x v="11"/>
    </i>
    <i t="grand">
      <x/>
    </i>
  </rowItems>
  <colFields count="1">
    <field x="-2"/>
  </colFields>
  <colItems count="2">
    <i>
      <x/>
    </i>
    <i i="1">
      <x v="1"/>
    </i>
  </colItems>
  <dataFields count="2">
    <dataField name="Sum of Order Value" fld="5" baseField="0" baseItem="0"/>
    <dataField name="Count of Order ID" fld="0" subtotal="count" baseField="0" baseItem="0"/>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288BCC89-0FEF-4A26-A4E7-EB6D7DD7D278}"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s">
  <location ref="K15:L20" firstHeaderRow="1" firstDataRow="1" firstDataCol="1"/>
  <pivotFields count="10">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items count="6">
        <item x="0"/>
        <item x="4"/>
        <item x="2"/>
        <item x="3"/>
        <item x="1"/>
        <item t="default"/>
      </items>
    </pivotField>
    <pivotField numFmtId="14" showAll="0">
      <items count="31">
        <item x="17"/>
        <item x="2"/>
        <item x="27"/>
        <item x="15"/>
        <item x="21"/>
        <item x="0"/>
        <item x="24"/>
        <item x="1"/>
        <item x="10"/>
        <item x="23"/>
        <item x="26"/>
        <item x="20"/>
        <item x="6"/>
        <item x="8"/>
        <item x="12"/>
        <item x="16"/>
        <item x="22"/>
        <item x="7"/>
        <item x="13"/>
        <item x="18"/>
        <item x="9"/>
        <item x="3"/>
        <item x="11"/>
        <item x="25"/>
        <item x="14"/>
        <item x="4"/>
        <item x="28"/>
        <item x="5"/>
        <item x="29"/>
        <item x="19"/>
        <item t="default"/>
      </items>
    </pivotField>
    <pivotField numFmtId="14" showAll="0"/>
    <pivotField axis="axisRow" showAll="0">
      <items count="5">
        <item x="1"/>
        <item x="3"/>
        <item x="2"/>
        <item x="0"/>
        <item t="default"/>
      </items>
    </pivotField>
    <pivotField showAll="0"/>
    <pivotField showAll="0">
      <items count="3">
        <item x="1"/>
        <item x="0"/>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Delivery Duration (Day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C9D409A3-275D-45FD-ADDB-DC9C30CFD758}"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Name">
  <location ref="K4:N11" firstHeaderRow="1" firstDataRow="2" firstDataCol="1"/>
  <pivotFields count="10">
    <pivotField dataField="1"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xis="axisRow" showAll="0">
      <items count="6">
        <item x="0"/>
        <item x="4"/>
        <item x="2"/>
        <item x="3"/>
        <item x="1"/>
        <item t="default"/>
      </items>
    </pivotField>
    <pivotField numFmtId="14" showAll="0">
      <items count="31">
        <item x="17"/>
        <item x="2"/>
        <item x="27"/>
        <item x="15"/>
        <item x="21"/>
        <item x="0"/>
        <item x="24"/>
        <item x="1"/>
        <item x="10"/>
        <item x="23"/>
        <item x="26"/>
        <item x="20"/>
        <item x="6"/>
        <item x="8"/>
        <item x="12"/>
        <item x="16"/>
        <item x="22"/>
        <item x="7"/>
        <item x="13"/>
        <item x="18"/>
        <item x="9"/>
        <item x="3"/>
        <item x="11"/>
        <item x="25"/>
        <item x="14"/>
        <item x="4"/>
        <item x="28"/>
        <item x="5"/>
        <item x="29"/>
        <item x="19"/>
        <item t="default"/>
      </items>
    </pivotField>
    <pivotField numFmtId="14" showAll="0"/>
    <pivotField showAll="0"/>
    <pivotField showAll="0"/>
    <pivotField axis="axisCol" showAll="0">
      <items count="3">
        <item x="1"/>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6">
    <i>
      <x/>
    </i>
    <i>
      <x v="1"/>
    </i>
    <i>
      <x v="2"/>
    </i>
    <i>
      <x v="3"/>
    </i>
    <i>
      <x v="4"/>
    </i>
    <i t="grand">
      <x/>
    </i>
  </rowItems>
  <colFields count="1">
    <field x="6"/>
  </colFields>
  <colItems count="3">
    <i>
      <x/>
    </i>
    <i>
      <x v="1"/>
    </i>
    <i t="grand">
      <x/>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E91EC5DD-1386-4C18-A85C-B732535885B3}"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s">
  <location ref="T20:U25" firstHeaderRow="1" firstDataRow="1" firstDataCol="1"/>
  <pivotFields count="10">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items count="6">
        <item x="0"/>
        <item x="4"/>
        <item x="2"/>
        <item x="3"/>
        <item x="1"/>
        <item t="default"/>
      </items>
    </pivotField>
    <pivotField numFmtId="14" showAll="0">
      <items count="31">
        <item x="17"/>
        <item x="2"/>
        <item x="27"/>
        <item x="15"/>
        <item x="21"/>
        <item x="0"/>
        <item x="24"/>
        <item x="1"/>
        <item x="10"/>
        <item x="23"/>
        <item x="26"/>
        <item x="20"/>
        <item x="6"/>
        <item x="8"/>
        <item x="12"/>
        <item x="16"/>
        <item x="22"/>
        <item x="7"/>
        <item x="13"/>
        <item x="18"/>
        <item x="9"/>
        <item x="3"/>
        <item x="11"/>
        <item x="25"/>
        <item x="14"/>
        <item x="4"/>
        <item x="28"/>
        <item x="5"/>
        <item x="29"/>
        <item x="19"/>
        <item t="default"/>
      </items>
    </pivotField>
    <pivotField numFmtId="14" showAll="0"/>
    <pivotField axis="axisRow" showAll="0">
      <items count="5">
        <item x="1"/>
        <item x="3"/>
        <item x="2"/>
        <item x="0"/>
        <item t="default"/>
      </items>
    </pivotField>
    <pivotField showAll="0"/>
    <pivotField showAll="0">
      <items count="3">
        <item x="1"/>
        <item x="0"/>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Delivery Duration (Day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ehouse" xr10:uid="{52D17EA5-80B4-4B7D-B298-02D6D80165A4}" sourceName="Warehouse">
  <pivotTables>
    <pivotTable tabId="3" name="PivotTable11"/>
    <pivotTable tabId="3" name="LastPivotTable3"/>
  </pivotTables>
  <data>
    <tabular pivotCacheId="2117912601">
      <items count="3">
        <i x="0"/>
        <i x="1"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7CC875E5-F531-43EF-A3C4-C83FA66987EB}" sourceName="Product">
  <pivotTables>
    <pivotTable tabId="5" name="PivotTable8"/>
    <pivotTable tabId="5" name="PivotTable6"/>
  </pivotTables>
  <data>
    <tabular pivotCacheId="1103005880">
      <items count="4">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CB2CB966-8E76-47D0-9A61-B0D9F22B3A0F}" sourceName="Delivery Status">
  <pivotTables>
    <pivotTable tabId="5" name="PivotTable8"/>
    <pivotTable tabId="5" name="PivotTable6"/>
  </pivotTables>
  <data>
    <tabular pivotCacheId="1103005880">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84C6542-ABA7-4F50-9FC2-202F386D9A99}" sourceName="Region">
  <pivotTables>
    <pivotTable tabId="1" name="PivotTable2"/>
    <pivotTable tabId="1" name="PivotTable5"/>
  </pivotTables>
  <data>
    <tabular pivotCacheId="705315861">
      <items count="4">
        <i x="3" s="1"/>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76124AD-65A5-4637-90BD-73475653AD0D}" sourceName="Product">
  <pivotTables>
    <pivotTable tabId="1" name="PivotTable2"/>
    <pivotTable tabId="1" name="PivotTable5"/>
  </pivotTables>
  <data>
    <tabular pivotCacheId="705315861">
      <items count="5">
        <i x="2" s="1"/>
        <i x="3" s="1"/>
        <i x="4"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442E22D-E616-41C7-8FA1-FEEFB29710D7}" cache="Slicer_Region" caption="Region" rowHeight="234950"/>
  <slicer name="Product" xr10:uid="{A4626C11-9E6F-4AA0-982E-C87C0BEDE67C}" cache="Slicer_Product" caption="Produc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arehouse" xr10:uid="{8A743486-A5BE-4E39-9721-54AFC94A1749}" cache="Slicer_Warehouse" caption="Warehous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71A4F985-F5CD-49C4-AE29-AA88E999B1D0}" cache="Slicer_Product1" caption="Product" rowHeight="234950"/>
  <slicer name="Delivery Status" xr10:uid="{EBF54B1D-6651-4F68-8356-C6CA9895BF2B}" cache="Slicer_Delivery_Status" caption="Delivery 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D45D6BA-D848-4AAB-98A7-AE6E1E2FAFDB}" name="Table2" displayName="Table2" ref="A1:H31" totalsRowShown="0" headerRowDxfId="33" headerRowBorderDxfId="32" tableBorderDxfId="31">
  <autoFilter ref="A1:H31" xr:uid="{0D45D6BA-D848-4AAB-98A7-AE6E1E2FAFDB}"/>
  <tableColumns count="8">
    <tableColumn id="1" xr3:uid="{EBC13D67-AFE7-4092-BF76-17DF051E1203}" name="Date" dataDxfId="30"/>
    <tableColumn id="2" xr3:uid="{3A0E70A6-EBD6-4933-85F6-2933F314D31A}" name="Region"/>
    <tableColumn id="3" xr3:uid="{F30151A0-214A-4FBA-B466-FE507FC87577}" name="Salesperson"/>
    <tableColumn id="4" xr3:uid="{591104A1-FA5D-4BA1-8690-B3D4392E5A95}" name="Product"/>
    <tableColumn id="5" xr3:uid="{84A3C10F-767F-4A12-9670-8A4F966F990F}" name="Units Sold"/>
    <tableColumn id="6" xr3:uid="{979F8492-DE6F-4AFD-9C1E-B093718D8AFC}" name="Unit Price"/>
    <tableColumn id="7" xr3:uid="{AF553AC0-8695-49B1-9132-C859817C42E2}" name="Revenue"/>
    <tableColumn id="8" xr3:uid="{48BE1CA5-0932-45ED-A0E1-9EB5A797188C}" name="Profit"/>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AAC8A35-3561-4951-AC6B-D69A84CE9B55}" name="Table3" displayName="Table3" ref="A1:H31" totalsRowShown="0" headerRowDxfId="26" headerRowBorderDxfId="25" tableBorderDxfId="24">
  <autoFilter ref="A1:H31" xr:uid="{1AAC8A35-3561-4951-AC6B-D69A84CE9B55}"/>
  <tableColumns count="8">
    <tableColumn id="1" xr3:uid="{ED7D47BD-4091-45BB-B9E6-A68D779A71CC}" name="Employee ID"/>
    <tableColumn id="2" xr3:uid="{8AFCA92C-342D-48A1-A6DF-1C64287497A9}" name="Department"/>
    <tableColumn id="3" xr3:uid="{489020F4-0460-4FC3-9C8F-BED0E572C0BD}" name="Gender"/>
    <tableColumn id="4" xr3:uid="{F0CF6092-5281-4BBD-B2C4-2CA0ABFEE410}" name="Age"/>
    <tableColumn id="5" xr3:uid="{C54461F9-DF65-459E-A7CA-D0E08EBF9AE2}" name="Join Date" dataDxfId="23"/>
    <tableColumn id="6" xr3:uid="{118A098F-EB06-44D7-952F-DF256D8D6F85}" name="Exit Date" dataDxfId="22"/>
    <tableColumn id="7" xr3:uid="{60F8E113-BB92-4FBB-9D8E-A0C86847B45C}" name="Status"/>
    <tableColumn id="8" xr3:uid="{A37FD3A7-008C-4BB0-94C1-CF706ED06923}" name="Salary"/>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2E0620E-A9F2-4B26-B0DA-E66B3FBD6ADF}" name="Table4" displayName="Table4" ref="A1:I31" totalsRowShown="0" headerRowDxfId="21" headerRowBorderDxfId="20" tableBorderDxfId="19">
  <autoFilter ref="A1:I31" xr:uid="{52E0620E-A9F2-4B26-B0DA-E66B3FBD6ADF}"/>
  <tableColumns count="9">
    <tableColumn id="1" xr3:uid="{62A27C00-FAE9-46A0-A541-0FE563AF1F18}" name="Product ID"/>
    <tableColumn id="2" xr3:uid="{6018AEB3-08C4-4202-AD3A-5D1B4731F2A8}" name="Product Category"/>
    <tableColumn id="3" xr3:uid="{9B51C435-8807-45FB-BF4D-C2C36552548F}" name="Warehouse"/>
    <tableColumn id="4" xr3:uid="{A439F882-8E2A-4DD6-95E8-F17997F2D2D0}" name="Opening Stock"/>
    <tableColumn id="5" xr3:uid="{F4A03A27-E836-4F63-9089-4B6D992D2CB5}" name="Quantity Sold"/>
    <tableColumn id="6" xr3:uid="{7A2C01FF-BC18-4F91-B9D2-96778378A66A}" name="Quantity Purchased"/>
    <tableColumn id="7" xr3:uid="{A1C83919-09BF-4FA6-80E1-DAEE1FB32406}" name="Date" dataDxfId="18"/>
    <tableColumn id="8" xr3:uid="{12B6703E-2370-4867-8CCB-81EC685CAD53}" name="Closing Stock"/>
    <tableColumn id="9" xr3:uid="{76F41418-D15C-477F-8D3B-58C66C060DD7}" name="Net Movement" dataDxfId="17">
      <calculatedColumnFormula>F2-E2</calculatedColumnFormula>
    </tableColumn>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488338D-8ED1-4109-8F88-B8B215F837E6}" name="Table5" displayName="Table5" ref="A1:F31" totalsRowShown="0" headerRowDxfId="12" headerRowBorderDxfId="11" tableBorderDxfId="10">
  <autoFilter ref="A1:F31" xr:uid="{A488338D-8ED1-4109-8F88-B8B215F837E6}"/>
  <tableColumns count="6">
    <tableColumn id="1" xr3:uid="{BAAE6C97-CE58-4821-B1B4-F9B9B8BFA317}" name="Department"/>
    <tableColumn id="2" xr3:uid="{32151D00-45E7-4F01-B501-E1C176D75F3C}" name="Expense Category"/>
    <tableColumn id="3" xr3:uid="{515EA26C-F450-49A5-9909-72542C9D8F23}" name="Expense Amount"/>
    <tableColumn id="4" xr3:uid="{1CAA6734-EC4A-4626-8F9C-5BBC244BB1EE}" name="Budget"/>
    <tableColumn id="5" xr3:uid="{A8A6CBFC-C057-4929-832D-785FABC267E0}" name="Date" dataDxfId="9"/>
    <tableColumn id="6" xr3:uid="{439C81AC-48F0-484B-A543-D42492EA5577}" name="Project Name"/>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05ADD0-1FDA-482C-8B8C-FC5803B85AC4}" name="Table1" displayName="Table1" ref="A1:H31" totalsRowShown="0" headerRowDxfId="8" headerRowBorderDxfId="7" tableBorderDxfId="6">
  <autoFilter ref="A1:H31" xr:uid="{9005ADD0-1FDA-482C-8B8C-FC5803B85AC4}"/>
  <tableColumns count="8">
    <tableColumn id="1" xr3:uid="{A10E6913-9B30-411C-9D42-36EEF2191471}" name="Order ID"/>
    <tableColumn id="2" xr3:uid="{2BC32CAB-FD6E-4505-A304-39403319C4E6}" name="Customer Name"/>
    <tableColumn id="3" xr3:uid="{2EEDEBEC-8ADB-42C0-9E95-0DE2646F98BC}" name="Order Date" dataDxfId="5"/>
    <tableColumn id="4" xr3:uid="{1E07C08B-D52C-4A04-ADDA-1CC6C2A8D74C}" name="Delivery Date" dataDxfId="4"/>
    <tableColumn id="5" xr3:uid="{FA1792B4-0F55-48B9-BBF0-8C063A9C70FF}" name="Product"/>
    <tableColumn id="6" xr3:uid="{733BD3A2-E013-4BB0-A9FF-9739F89CD0EB}" name="Order Value"/>
    <tableColumn id="7" xr3:uid="{5121161C-9BCD-457E-B747-713182B0FEC0}" name="Delivery Status"/>
    <tableColumn id="8" xr3:uid="{80C1E2D0-978C-443B-9631-4C045CB932B3}" name="Delivery Duration (Days)"/>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Join_Date" xr10:uid="{4EF0C0EE-A6E0-4C9D-81A3-A6B561CFE423}" sourceName="Join Date">
  <pivotTables>
    <pivotTable tabId="2" name="PivotTable9"/>
  </pivotTables>
  <state minimalRefreshVersion="6" lastRefreshVersion="6" pivotCacheId="1902167496" filterType="dateBetween">
    <selection startDate="2020-01-01T00:00:00" endDate="2020-07-31T00:00:00"/>
    <bounds startDate="2020-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446D7BC6-49F4-4875-87B0-C4F5C522EF77}" sourceName="Date">
  <pivotTables>
    <pivotTable tabId="4" name="PivotTable5"/>
  </pivotTables>
  <state minimalRefreshVersion="6" lastRefreshVersion="6" pivotCacheId="1950724540" filterType="dateBetween">
    <selection startDate="2023-06-01T00:00:00" endDate="2023-12-31T00:00:00"/>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Join Date" xr10:uid="{9747C90A-8D01-4044-8355-FA4FFA9A2E16}" cache="NativeTimeline_Join_Date" caption="Join Date" level="2" selectionLevel="2" scrollPosition="2020-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BD8FAACE-12D0-434E-9B83-B09A1AD06538}" cache="NativeTimeline_Date" caption="Date" level="2" selectionLevel="2" scrollPosition="2023-06-06T00:00:00"/>
</timelines>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table" Target="../tables/tabl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8.xml"/><Relationship Id="rId7" Type="http://schemas.openxmlformats.org/officeDocument/2006/relationships/table" Target="../tables/table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2.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3.xml"/><Relationship Id="rId7" Type="http://schemas.microsoft.com/office/2007/relationships/slicer" Target="../slicers/slicer2.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table" Target="../tables/table3.xml"/><Relationship Id="rId5" Type="http://schemas.openxmlformats.org/officeDocument/2006/relationships/drawing" Target="../drawings/drawing3.xml"/><Relationship Id="rId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8" Type="http://schemas.microsoft.com/office/2011/relationships/timeline" Target="../timelines/timeline2.xml"/><Relationship Id="rId3" Type="http://schemas.openxmlformats.org/officeDocument/2006/relationships/pivotTable" Target="../pivotTables/pivotTable17.xml"/><Relationship Id="rId7" Type="http://schemas.openxmlformats.org/officeDocument/2006/relationships/table" Target="../tables/table4.xml"/><Relationship Id="rId2" Type="http://schemas.openxmlformats.org/officeDocument/2006/relationships/pivotTable" Target="../pivotTables/pivotTable16.xml"/><Relationship Id="rId1" Type="http://schemas.openxmlformats.org/officeDocument/2006/relationships/pivotTable" Target="../pivotTables/pivotTable15.xml"/><Relationship Id="rId6" Type="http://schemas.openxmlformats.org/officeDocument/2006/relationships/drawing" Target="../drawings/drawing4.xml"/><Relationship Id="rId5" Type="http://schemas.openxmlformats.org/officeDocument/2006/relationships/pivotTable" Target="../pivotTables/pivotTable19.xml"/><Relationship Id="rId4" Type="http://schemas.openxmlformats.org/officeDocument/2006/relationships/pivotTable" Target="../pivotTables/pivotTable18.xml"/></Relationships>
</file>

<file path=xl/worksheets/_rels/sheet5.xml.rels><?xml version="1.0" encoding="UTF-8" standalone="yes"?>
<Relationships xmlns="http://schemas.openxmlformats.org/package/2006/relationships"><Relationship Id="rId8" Type="http://schemas.microsoft.com/office/2007/relationships/slicer" Target="../slicers/slicer3.xml"/><Relationship Id="rId3" Type="http://schemas.openxmlformats.org/officeDocument/2006/relationships/pivotTable" Target="../pivotTables/pivotTable22.xml"/><Relationship Id="rId7" Type="http://schemas.openxmlformats.org/officeDocument/2006/relationships/table" Target="../tables/table5.xml"/><Relationship Id="rId2" Type="http://schemas.openxmlformats.org/officeDocument/2006/relationships/pivotTable" Target="../pivotTables/pivotTable21.xml"/><Relationship Id="rId1" Type="http://schemas.openxmlformats.org/officeDocument/2006/relationships/pivotTable" Target="../pivotTables/pivotTable20.xml"/><Relationship Id="rId6" Type="http://schemas.openxmlformats.org/officeDocument/2006/relationships/drawing" Target="../drawings/drawing5.xml"/><Relationship Id="rId5" Type="http://schemas.openxmlformats.org/officeDocument/2006/relationships/pivotTable" Target="../pivotTables/pivotTable24.xml"/><Relationship Id="rId4" Type="http://schemas.openxmlformats.org/officeDocument/2006/relationships/pivotTable" Target="../pivotTables/pivotTable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31"/>
  <sheetViews>
    <sheetView topLeftCell="R1" workbookViewId="0">
      <selection activeCell="AK19" sqref="AK19"/>
    </sheetView>
  </sheetViews>
  <sheetFormatPr defaultRowHeight="14.4" x14ac:dyDescent="0.3"/>
  <cols>
    <col min="1" max="1" width="10.33203125" bestFit="1" customWidth="1"/>
    <col min="3" max="3" width="12.88671875" customWidth="1"/>
    <col min="4" max="4" width="9.5546875" customWidth="1"/>
    <col min="5" max="5" width="11.33203125" customWidth="1"/>
    <col min="6" max="6" width="11" customWidth="1"/>
    <col min="7" max="7" width="10.21875" customWidth="1"/>
    <col min="11" max="11" width="12.5546875" bestFit="1" customWidth="1"/>
    <col min="12" max="12" width="14.88671875" bestFit="1" customWidth="1"/>
    <col min="13" max="13" width="6" bestFit="1" customWidth="1"/>
    <col min="14" max="14" width="14.88671875" bestFit="1" customWidth="1"/>
    <col min="15" max="15" width="15.5546875" bestFit="1" customWidth="1"/>
    <col min="16" max="18" width="6" bestFit="1" customWidth="1"/>
    <col min="19" max="19" width="10.77734375" bestFit="1" customWidth="1"/>
    <col min="20" max="20" width="10.77734375" customWidth="1"/>
    <col min="21" max="21" width="10.77734375" bestFit="1" customWidth="1"/>
    <col min="22" max="22" width="14.88671875" bestFit="1" customWidth="1"/>
    <col min="23" max="23" width="15.5546875" bestFit="1" customWidth="1"/>
    <col min="24" max="26" width="6" bestFit="1" customWidth="1"/>
    <col min="27" max="27" width="10.77734375" bestFit="1" customWidth="1"/>
    <col min="28" max="28" width="8.6640625" bestFit="1" customWidth="1"/>
    <col min="29" max="29" width="10.77734375" bestFit="1" customWidth="1"/>
    <col min="30" max="33" width="10.33203125" bestFit="1" customWidth="1"/>
    <col min="34" max="34" width="10.77734375" bestFit="1" customWidth="1"/>
  </cols>
  <sheetData>
    <row r="1" spans="1:35" ht="23.4" x14ac:dyDescent="0.3">
      <c r="A1" s="2" t="s">
        <v>0</v>
      </c>
      <c r="B1" s="2" t="s">
        <v>1</v>
      </c>
      <c r="C1" s="2" t="s">
        <v>2</v>
      </c>
      <c r="D1" s="2" t="s">
        <v>3</v>
      </c>
      <c r="E1" s="2" t="s">
        <v>4</v>
      </c>
      <c r="F1" s="2" t="s">
        <v>5</v>
      </c>
      <c r="G1" s="2" t="s">
        <v>6</v>
      </c>
      <c r="H1" s="2" t="s">
        <v>7</v>
      </c>
      <c r="V1" s="20" t="s">
        <v>242</v>
      </c>
      <c r="W1" s="20"/>
      <c r="X1" s="20"/>
      <c r="Y1" s="20"/>
      <c r="Z1" s="20"/>
      <c r="AA1" s="20"/>
      <c r="AB1" s="20"/>
      <c r="AC1" s="20"/>
      <c r="AD1" s="20"/>
      <c r="AE1" s="20"/>
      <c r="AF1" s="20"/>
      <c r="AG1" s="20"/>
      <c r="AH1" s="20"/>
      <c r="AI1" s="20"/>
    </row>
    <row r="2" spans="1:35" ht="15.6" x14ac:dyDescent="0.3">
      <c r="A2" s="1">
        <v>45019</v>
      </c>
      <c r="B2" t="s">
        <v>8</v>
      </c>
      <c r="C2" t="s">
        <v>9</v>
      </c>
      <c r="D2" t="s">
        <v>10</v>
      </c>
      <c r="E2">
        <v>12</v>
      </c>
      <c r="F2">
        <v>809</v>
      </c>
      <c r="G2">
        <v>9708</v>
      </c>
      <c r="H2">
        <v>1941.6</v>
      </c>
      <c r="K2" s="12" t="s">
        <v>261</v>
      </c>
      <c r="L2" s="9"/>
      <c r="N2" s="8" t="s">
        <v>262</v>
      </c>
      <c r="O2" s="9"/>
    </row>
    <row r="3" spans="1:35" x14ac:dyDescent="0.3">
      <c r="A3" s="1">
        <v>45109</v>
      </c>
      <c r="B3" t="s">
        <v>8</v>
      </c>
      <c r="C3" t="s">
        <v>11</v>
      </c>
      <c r="D3" t="s">
        <v>10</v>
      </c>
      <c r="E3">
        <v>10</v>
      </c>
      <c r="F3">
        <v>418</v>
      </c>
      <c r="G3">
        <v>4180</v>
      </c>
      <c r="H3">
        <v>836</v>
      </c>
      <c r="K3" s="3" t="s">
        <v>1</v>
      </c>
      <c r="L3" t="s">
        <v>175</v>
      </c>
      <c r="N3" s="3" t="s">
        <v>175</v>
      </c>
      <c r="O3" s="3" t="s">
        <v>176</v>
      </c>
    </row>
    <row r="4" spans="1:35" x14ac:dyDescent="0.3">
      <c r="A4" s="1">
        <v>45267</v>
      </c>
      <c r="B4" t="s">
        <v>12</v>
      </c>
      <c r="C4" t="s">
        <v>13</v>
      </c>
      <c r="D4" t="s">
        <v>14</v>
      </c>
      <c r="E4">
        <v>12</v>
      </c>
      <c r="F4">
        <v>528</v>
      </c>
      <c r="G4">
        <v>6336</v>
      </c>
      <c r="H4">
        <v>1267.2</v>
      </c>
      <c r="K4" s="4" t="s">
        <v>19</v>
      </c>
      <c r="L4">
        <v>45230</v>
      </c>
      <c r="N4" s="3" t="s">
        <v>254</v>
      </c>
      <c r="O4" t="s">
        <v>19</v>
      </c>
      <c r="P4" t="s">
        <v>15</v>
      </c>
      <c r="Q4" t="s">
        <v>12</v>
      </c>
      <c r="R4" t="s">
        <v>8</v>
      </c>
      <c r="S4" t="s">
        <v>177</v>
      </c>
    </row>
    <row r="5" spans="1:35" x14ac:dyDescent="0.3">
      <c r="A5" s="1">
        <v>44998</v>
      </c>
      <c r="B5" t="s">
        <v>15</v>
      </c>
      <c r="C5" t="s">
        <v>16</v>
      </c>
      <c r="D5" t="s">
        <v>17</v>
      </c>
      <c r="E5">
        <v>10</v>
      </c>
      <c r="F5">
        <v>761</v>
      </c>
      <c r="G5">
        <v>7610</v>
      </c>
      <c r="H5">
        <v>1522</v>
      </c>
      <c r="K5" s="4" t="s">
        <v>15</v>
      </c>
      <c r="L5">
        <v>55780</v>
      </c>
      <c r="N5" s="4" t="s">
        <v>11</v>
      </c>
      <c r="O5">
        <v>3474</v>
      </c>
      <c r="P5">
        <v>13086</v>
      </c>
      <c r="Q5">
        <v>9872</v>
      </c>
      <c r="R5">
        <v>6364</v>
      </c>
      <c r="S5">
        <v>32796</v>
      </c>
    </row>
    <row r="6" spans="1:35" x14ac:dyDescent="0.3">
      <c r="A6" s="1">
        <v>45149</v>
      </c>
      <c r="B6" t="s">
        <v>12</v>
      </c>
      <c r="C6" t="s">
        <v>13</v>
      </c>
      <c r="D6" t="s">
        <v>14</v>
      </c>
      <c r="E6">
        <v>20</v>
      </c>
      <c r="F6">
        <v>216</v>
      </c>
      <c r="G6">
        <v>4320</v>
      </c>
      <c r="H6">
        <v>864</v>
      </c>
      <c r="K6" s="4" t="s">
        <v>12</v>
      </c>
      <c r="L6">
        <v>90109</v>
      </c>
      <c r="N6" s="4" t="s">
        <v>9</v>
      </c>
      <c r="O6">
        <v>11320</v>
      </c>
      <c r="P6">
        <v>995</v>
      </c>
      <c r="Q6">
        <v>25100</v>
      </c>
      <c r="R6">
        <v>20537</v>
      </c>
      <c r="S6">
        <v>57952</v>
      </c>
    </row>
    <row r="7" spans="1:35" x14ac:dyDescent="0.3">
      <c r="A7" s="1">
        <v>45249</v>
      </c>
      <c r="B7" t="s">
        <v>12</v>
      </c>
      <c r="C7" t="s">
        <v>13</v>
      </c>
      <c r="D7" t="s">
        <v>18</v>
      </c>
      <c r="E7">
        <v>20</v>
      </c>
      <c r="F7">
        <v>975</v>
      </c>
      <c r="G7">
        <v>19500</v>
      </c>
      <c r="H7">
        <v>3900</v>
      </c>
      <c r="K7" s="4" t="s">
        <v>8</v>
      </c>
      <c r="L7">
        <v>30719</v>
      </c>
      <c r="N7" s="4" t="s">
        <v>20</v>
      </c>
      <c r="O7">
        <v>11790</v>
      </c>
      <c r="S7">
        <v>11790</v>
      </c>
    </row>
    <row r="8" spans="1:35" x14ac:dyDescent="0.3">
      <c r="A8" s="1">
        <v>45024</v>
      </c>
      <c r="B8" t="s">
        <v>15</v>
      </c>
      <c r="C8" t="s">
        <v>11</v>
      </c>
      <c r="D8" t="s">
        <v>10</v>
      </c>
      <c r="E8">
        <v>14</v>
      </c>
      <c r="F8">
        <v>779</v>
      </c>
      <c r="G8">
        <v>10906</v>
      </c>
      <c r="H8">
        <v>2181.1999999999998</v>
      </c>
      <c r="K8" s="4" t="s">
        <v>177</v>
      </c>
      <c r="L8">
        <v>221838</v>
      </c>
      <c r="N8" s="4" t="s">
        <v>16</v>
      </c>
      <c r="P8">
        <v>11390</v>
      </c>
      <c r="R8">
        <v>3818</v>
      </c>
      <c r="S8">
        <v>15208</v>
      </c>
    </row>
    <row r="9" spans="1:35" x14ac:dyDescent="0.3">
      <c r="A9" s="1">
        <v>45019</v>
      </c>
      <c r="B9" t="s">
        <v>8</v>
      </c>
      <c r="C9" t="s">
        <v>9</v>
      </c>
      <c r="D9" t="s">
        <v>14</v>
      </c>
      <c r="E9">
        <v>17</v>
      </c>
      <c r="F9">
        <v>637</v>
      </c>
      <c r="G9">
        <v>10829</v>
      </c>
      <c r="H9">
        <v>2165.8000000000002</v>
      </c>
      <c r="N9" s="4" t="s">
        <v>13</v>
      </c>
      <c r="O9">
        <v>18646</v>
      </c>
      <c r="P9">
        <v>30309</v>
      </c>
      <c r="Q9">
        <v>55137</v>
      </c>
      <c r="S9">
        <v>104092</v>
      </c>
    </row>
    <row r="10" spans="1:35" x14ac:dyDescent="0.3">
      <c r="A10" s="1">
        <v>45008</v>
      </c>
      <c r="B10" t="s">
        <v>15</v>
      </c>
      <c r="C10" t="s">
        <v>13</v>
      </c>
      <c r="D10" t="s">
        <v>18</v>
      </c>
      <c r="E10">
        <v>19</v>
      </c>
      <c r="F10">
        <v>877</v>
      </c>
      <c r="G10">
        <v>16663</v>
      </c>
      <c r="H10">
        <v>3332.6</v>
      </c>
      <c r="N10" s="4" t="s">
        <v>177</v>
      </c>
      <c r="O10">
        <v>45230</v>
      </c>
      <c r="P10">
        <v>55780</v>
      </c>
      <c r="Q10">
        <v>90109</v>
      </c>
      <c r="R10">
        <v>30719</v>
      </c>
      <c r="S10">
        <v>221838</v>
      </c>
    </row>
    <row r="11" spans="1:35" x14ac:dyDescent="0.3">
      <c r="A11" s="1">
        <v>45139</v>
      </c>
      <c r="B11" t="s">
        <v>19</v>
      </c>
      <c r="C11" t="s">
        <v>11</v>
      </c>
      <c r="D11" t="s">
        <v>10</v>
      </c>
      <c r="E11">
        <v>6</v>
      </c>
      <c r="F11">
        <v>579</v>
      </c>
      <c r="G11">
        <v>3474</v>
      </c>
      <c r="H11">
        <v>694.80000000000007</v>
      </c>
    </row>
    <row r="12" spans="1:35" ht="15.6" x14ac:dyDescent="0.3">
      <c r="A12" s="1">
        <v>45106</v>
      </c>
      <c r="B12" t="s">
        <v>15</v>
      </c>
      <c r="C12" t="s">
        <v>16</v>
      </c>
      <c r="D12" t="s">
        <v>18</v>
      </c>
      <c r="E12">
        <v>4</v>
      </c>
      <c r="F12">
        <v>945</v>
      </c>
      <c r="G12">
        <v>3780</v>
      </c>
      <c r="H12">
        <v>756</v>
      </c>
      <c r="K12" s="12" t="s">
        <v>263</v>
      </c>
      <c r="L12" s="9"/>
      <c r="N12" s="12" t="s">
        <v>264</v>
      </c>
      <c r="O12" s="19"/>
    </row>
    <row r="13" spans="1:35" x14ac:dyDescent="0.3">
      <c r="A13" s="1">
        <v>44969</v>
      </c>
      <c r="B13" t="s">
        <v>8</v>
      </c>
      <c r="C13" t="s">
        <v>11</v>
      </c>
      <c r="D13" t="s">
        <v>18</v>
      </c>
      <c r="E13">
        <v>7</v>
      </c>
      <c r="F13">
        <v>312</v>
      </c>
      <c r="G13">
        <v>2184</v>
      </c>
      <c r="H13">
        <v>436.8</v>
      </c>
      <c r="K13" s="3" t="s">
        <v>265</v>
      </c>
      <c r="L13" t="s">
        <v>175</v>
      </c>
      <c r="N13" s="3" t="s">
        <v>266</v>
      </c>
      <c r="O13" t="s">
        <v>175</v>
      </c>
    </row>
    <row r="14" spans="1:35" x14ac:dyDescent="0.3">
      <c r="A14" s="1">
        <v>45155</v>
      </c>
      <c r="B14" t="s">
        <v>19</v>
      </c>
      <c r="C14" t="s">
        <v>20</v>
      </c>
      <c r="D14" t="s">
        <v>14</v>
      </c>
      <c r="E14">
        <v>20</v>
      </c>
      <c r="F14">
        <v>541</v>
      </c>
      <c r="G14">
        <v>10820</v>
      </c>
      <c r="H14">
        <v>2164</v>
      </c>
      <c r="K14" s="4" t="s">
        <v>179</v>
      </c>
      <c r="L14">
        <v>12630</v>
      </c>
      <c r="N14" s="4" t="s">
        <v>18</v>
      </c>
      <c r="O14">
        <v>59194</v>
      </c>
    </row>
    <row r="15" spans="1:35" x14ac:dyDescent="0.3">
      <c r="A15" s="1">
        <v>45116</v>
      </c>
      <c r="B15" t="s">
        <v>19</v>
      </c>
      <c r="C15" t="s">
        <v>9</v>
      </c>
      <c r="D15" t="s">
        <v>21</v>
      </c>
      <c r="E15">
        <v>20</v>
      </c>
      <c r="F15">
        <v>566</v>
      </c>
      <c r="G15">
        <v>11320</v>
      </c>
      <c r="H15">
        <v>2264</v>
      </c>
      <c r="K15" s="4" t="s">
        <v>180</v>
      </c>
      <c r="L15">
        <v>32151</v>
      </c>
      <c r="N15" s="4" t="s">
        <v>21</v>
      </c>
      <c r="O15">
        <v>56768</v>
      </c>
    </row>
    <row r="16" spans="1:35" x14ac:dyDescent="0.3">
      <c r="A16" s="1">
        <v>44954</v>
      </c>
      <c r="B16" t="s">
        <v>15</v>
      </c>
      <c r="C16" t="s">
        <v>9</v>
      </c>
      <c r="D16" t="s">
        <v>21</v>
      </c>
      <c r="E16">
        <v>1</v>
      </c>
      <c r="F16">
        <v>995</v>
      </c>
      <c r="G16">
        <v>995</v>
      </c>
      <c r="H16">
        <v>199</v>
      </c>
      <c r="K16" s="4" t="s">
        <v>181</v>
      </c>
      <c r="L16">
        <v>24273</v>
      </c>
      <c r="N16" s="4" t="s">
        <v>10</v>
      </c>
      <c r="O16">
        <v>53895</v>
      </c>
    </row>
    <row r="17" spans="1:27" x14ac:dyDescent="0.3">
      <c r="A17" s="1">
        <v>44972</v>
      </c>
      <c r="B17" t="s">
        <v>12</v>
      </c>
      <c r="C17" t="s">
        <v>9</v>
      </c>
      <c r="D17" t="s">
        <v>21</v>
      </c>
      <c r="E17">
        <v>20</v>
      </c>
      <c r="F17">
        <v>877</v>
      </c>
      <c r="G17">
        <v>17540</v>
      </c>
      <c r="H17">
        <v>3508</v>
      </c>
      <c r="K17" s="4" t="s">
        <v>182</v>
      </c>
      <c r="L17">
        <v>36244</v>
      </c>
      <c r="N17" s="4" t="s">
        <v>14</v>
      </c>
      <c r="O17">
        <v>34141</v>
      </c>
    </row>
    <row r="18" spans="1:27" x14ac:dyDescent="0.3">
      <c r="A18" s="1">
        <v>45049</v>
      </c>
      <c r="B18" t="s">
        <v>15</v>
      </c>
      <c r="C18" t="s">
        <v>11</v>
      </c>
      <c r="D18" t="s">
        <v>10</v>
      </c>
      <c r="E18">
        <v>4</v>
      </c>
      <c r="F18">
        <v>545</v>
      </c>
      <c r="G18">
        <v>2180</v>
      </c>
      <c r="H18">
        <v>436</v>
      </c>
      <c r="K18" s="4" t="s">
        <v>183</v>
      </c>
      <c r="L18">
        <v>2180</v>
      </c>
      <c r="N18" s="4" t="s">
        <v>17</v>
      </c>
      <c r="O18">
        <v>17840</v>
      </c>
    </row>
    <row r="19" spans="1:27" x14ac:dyDescent="0.3">
      <c r="A19" s="1">
        <v>45116</v>
      </c>
      <c r="B19" t="s">
        <v>19</v>
      </c>
      <c r="C19" t="s">
        <v>20</v>
      </c>
      <c r="D19" t="s">
        <v>18</v>
      </c>
      <c r="E19">
        <v>1</v>
      </c>
      <c r="F19">
        <v>970</v>
      </c>
      <c r="G19">
        <v>970</v>
      </c>
      <c r="H19">
        <v>194</v>
      </c>
      <c r="K19" s="4" t="s">
        <v>184</v>
      </c>
      <c r="L19">
        <v>3780</v>
      </c>
      <c r="N19" s="4" t="s">
        <v>177</v>
      </c>
      <c r="O19">
        <v>221838</v>
      </c>
    </row>
    <row r="20" spans="1:27" x14ac:dyDescent="0.3">
      <c r="A20" s="1">
        <v>45202</v>
      </c>
      <c r="B20" t="s">
        <v>8</v>
      </c>
      <c r="C20" t="s">
        <v>16</v>
      </c>
      <c r="D20" t="s">
        <v>17</v>
      </c>
      <c r="E20">
        <v>10</v>
      </c>
      <c r="F20">
        <v>267</v>
      </c>
      <c r="G20">
        <v>2670</v>
      </c>
      <c r="H20">
        <v>534</v>
      </c>
      <c r="K20" s="4" t="s">
        <v>185</v>
      </c>
      <c r="L20">
        <v>16470</v>
      </c>
      <c r="V20" s="3" t="s">
        <v>175</v>
      </c>
      <c r="W20" s="3" t="s">
        <v>1</v>
      </c>
    </row>
    <row r="21" spans="1:27" x14ac:dyDescent="0.3">
      <c r="A21" s="1">
        <v>45170</v>
      </c>
      <c r="B21" t="s">
        <v>15</v>
      </c>
      <c r="C21" t="s">
        <v>13</v>
      </c>
      <c r="D21" t="s">
        <v>21</v>
      </c>
      <c r="E21">
        <v>17</v>
      </c>
      <c r="F21">
        <v>318</v>
      </c>
      <c r="G21">
        <v>5406</v>
      </c>
      <c r="H21">
        <v>1081.2</v>
      </c>
      <c r="K21" s="4" t="s">
        <v>186</v>
      </c>
      <c r="L21">
        <v>18614</v>
      </c>
      <c r="V21" s="3" t="s">
        <v>266</v>
      </c>
      <c r="W21" t="s">
        <v>19</v>
      </c>
      <c r="X21" t="s">
        <v>15</v>
      </c>
      <c r="Y21" t="s">
        <v>12</v>
      </c>
      <c r="Z21" t="s">
        <v>8</v>
      </c>
      <c r="AA21" t="s">
        <v>177</v>
      </c>
    </row>
    <row r="22" spans="1:27" x14ac:dyDescent="0.3">
      <c r="A22" s="1">
        <v>45017</v>
      </c>
      <c r="B22" t="s">
        <v>8</v>
      </c>
      <c r="C22" t="s">
        <v>16</v>
      </c>
      <c r="D22" t="s">
        <v>10</v>
      </c>
      <c r="E22">
        <v>7</v>
      </c>
      <c r="F22">
        <v>164</v>
      </c>
      <c r="G22">
        <v>1148</v>
      </c>
      <c r="H22">
        <v>229.6</v>
      </c>
      <c r="K22" s="4" t="s">
        <v>187</v>
      </c>
      <c r="L22">
        <v>24674</v>
      </c>
      <c r="V22" s="4" t="s">
        <v>17</v>
      </c>
      <c r="X22">
        <v>7610</v>
      </c>
      <c r="Y22">
        <v>7560</v>
      </c>
      <c r="Z22">
        <v>2670</v>
      </c>
      <c r="AA22">
        <v>17840</v>
      </c>
    </row>
    <row r="23" spans="1:27" x14ac:dyDescent="0.3">
      <c r="A23" s="1">
        <v>45177</v>
      </c>
      <c r="B23" t="s">
        <v>12</v>
      </c>
      <c r="C23" t="s">
        <v>11</v>
      </c>
      <c r="D23" t="s">
        <v>21</v>
      </c>
      <c r="E23">
        <v>16</v>
      </c>
      <c r="F23">
        <v>617</v>
      </c>
      <c r="G23">
        <v>9872</v>
      </c>
      <c r="H23">
        <v>1974.4</v>
      </c>
      <c r="K23" s="4" t="s">
        <v>188</v>
      </c>
      <c r="L23">
        <v>2670</v>
      </c>
      <c r="V23" s="4" t="s">
        <v>18</v>
      </c>
      <c r="W23">
        <v>970</v>
      </c>
      <c r="X23">
        <v>28683</v>
      </c>
      <c r="Y23">
        <v>27357</v>
      </c>
      <c r="Z23">
        <v>2184</v>
      </c>
      <c r="AA23">
        <v>59194</v>
      </c>
    </row>
    <row r="24" spans="1:27" x14ac:dyDescent="0.3">
      <c r="A24" s="1">
        <v>45046</v>
      </c>
      <c r="B24" t="s">
        <v>12</v>
      </c>
      <c r="C24" t="s">
        <v>13</v>
      </c>
      <c r="D24" t="s">
        <v>10</v>
      </c>
      <c r="E24">
        <v>13</v>
      </c>
      <c r="F24">
        <v>281</v>
      </c>
      <c r="G24">
        <v>3653</v>
      </c>
      <c r="H24">
        <v>730.6</v>
      </c>
      <c r="K24" s="4" t="s">
        <v>189</v>
      </c>
      <c r="L24">
        <v>27740</v>
      </c>
      <c r="V24" s="4" t="s">
        <v>21</v>
      </c>
      <c r="W24">
        <v>11320</v>
      </c>
      <c r="X24">
        <v>6401</v>
      </c>
      <c r="Y24">
        <v>39047</v>
      </c>
      <c r="AA24">
        <v>56768</v>
      </c>
    </row>
    <row r="25" spans="1:27" x14ac:dyDescent="0.3">
      <c r="A25" s="1">
        <v>44952</v>
      </c>
      <c r="B25" t="s">
        <v>12</v>
      </c>
      <c r="C25" t="s">
        <v>13</v>
      </c>
      <c r="D25" t="s">
        <v>21</v>
      </c>
      <c r="E25">
        <v>13</v>
      </c>
      <c r="F25">
        <v>895</v>
      </c>
      <c r="G25">
        <v>11635</v>
      </c>
      <c r="H25">
        <v>2327</v>
      </c>
      <c r="K25" s="4" t="s">
        <v>190</v>
      </c>
      <c r="L25">
        <v>20412</v>
      </c>
      <c r="V25" s="4" t="s">
        <v>14</v>
      </c>
      <c r="W25">
        <v>10820</v>
      </c>
      <c r="Y25">
        <v>12492</v>
      </c>
      <c r="Z25">
        <v>10829</v>
      </c>
      <c r="AA25">
        <v>34141</v>
      </c>
    </row>
    <row r="26" spans="1:27" x14ac:dyDescent="0.3">
      <c r="A26" s="1">
        <v>44963</v>
      </c>
      <c r="B26" t="s">
        <v>19</v>
      </c>
      <c r="C26" t="s">
        <v>13</v>
      </c>
      <c r="D26" t="s">
        <v>10</v>
      </c>
      <c r="E26">
        <v>10</v>
      </c>
      <c r="F26">
        <v>457</v>
      </c>
      <c r="G26">
        <v>4570</v>
      </c>
      <c r="H26">
        <v>914</v>
      </c>
      <c r="K26" s="4" t="s">
        <v>177</v>
      </c>
      <c r="L26">
        <v>221838</v>
      </c>
      <c r="V26" s="4" t="s">
        <v>10</v>
      </c>
      <c r="W26">
        <v>22120</v>
      </c>
      <c r="X26">
        <v>13086</v>
      </c>
      <c r="Y26">
        <v>3653</v>
      </c>
      <c r="Z26">
        <v>15036</v>
      </c>
      <c r="AA26">
        <v>53895</v>
      </c>
    </row>
    <row r="27" spans="1:27" x14ac:dyDescent="0.3">
      <c r="A27" s="1">
        <v>45178</v>
      </c>
      <c r="B27" t="s">
        <v>12</v>
      </c>
      <c r="C27" t="s">
        <v>9</v>
      </c>
      <c r="D27" t="s">
        <v>17</v>
      </c>
      <c r="E27">
        <v>8</v>
      </c>
      <c r="F27">
        <v>945</v>
      </c>
      <c r="G27">
        <v>7560</v>
      </c>
      <c r="H27">
        <v>1512</v>
      </c>
      <c r="V27" s="4" t="s">
        <v>177</v>
      </c>
      <c r="W27">
        <v>45230</v>
      </c>
      <c r="X27">
        <v>55780</v>
      </c>
      <c r="Y27">
        <v>90109</v>
      </c>
      <c r="Z27">
        <v>30719</v>
      </c>
      <c r="AA27">
        <v>221838</v>
      </c>
    </row>
    <row r="28" spans="1:27" x14ac:dyDescent="0.3">
      <c r="A28" s="1">
        <v>44970</v>
      </c>
      <c r="B28" t="s">
        <v>12</v>
      </c>
      <c r="C28" t="s">
        <v>13</v>
      </c>
      <c r="D28" t="s">
        <v>18</v>
      </c>
      <c r="E28">
        <v>9</v>
      </c>
      <c r="F28">
        <v>873</v>
      </c>
      <c r="G28">
        <v>7857</v>
      </c>
      <c r="H28">
        <v>1571.4</v>
      </c>
    </row>
    <row r="29" spans="1:27" x14ac:dyDescent="0.3">
      <c r="A29" s="1">
        <v>45282</v>
      </c>
      <c r="B29" t="s">
        <v>19</v>
      </c>
      <c r="C29" t="s">
        <v>13</v>
      </c>
      <c r="D29" t="s">
        <v>10</v>
      </c>
      <c r="E29">
        <v>17</v>
      </c>
      <c r="F29">
        <v>828</v>
      </c>
      <c r="G29">
        <v>14076</v>
      </c>
      <c r="H29">
        <v>2815.2</v>
      </c>
    </row>
    <row r="30" spans="1:27" x14ac:dyDescent="0.3">
      <c r="A30" s="1">
        <v>45247</v>
      </c>
      <c r="B30" t="s">
        <v>15</v>
      </c>
      <c r="C30" t="s">
        <v>13</v>
      </c>
      <c r="D30" t="s">
        <v>18</v>
      </c>
      <c r="E30">
        <v>16</v>
      </c>
      <c r="F30">
        <v>515</v>
      </c>
      <c r="G30">
        <v>8240</v>
      </c>
      <c r="H30">
        <v>1648</v>
      </c>
    </row>
    <row r="31" spans="1:27" x14ac:dyDescent="0.3">
      <c r="A31" s="1">
        <v>45177</v>
      </c>
      <c r="B31" t="s">
        <v>12</v>
      </c>
      <c r="C31" t="s">
        <v>13</v>
      </c>
      <c r="D31" t="s">
        <v>14</v>
      </c>
      <c r="E31">
        <v>2</v>
      </c>
      <c r="F31">
        <v>918</v>
      </c>
      <c r="G31">
        <v>1836</v>
      </c>
      <c r="H31">
        <v>367.2</v>
      </c>
    </row>
  </sheetData>
  <mergeCells count="1">
    <mergeCell ref="V1:AI1"/>
  </mergeCells>
  <pageMargins left="0.75" right="0.75" top="1" bottom="1" header="0.5" footer="0.5"/>
  <drawing r:id="rId6"/>
  <tableParts count="1">
    <tablePart r:id="rId7"/>
  </tableParts>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31"/>
  <sheetViews>
    <sheetView topLeftCell="P1" workbookViewId="0">
      <selection activeCell="AJ14" sqref="AJ14"/>
    </sheetView>
  </sheetViews>
  <sheetFormatPr defaultRowHeight="14.4" x14ac:dyDescent="0.3"/>
  <cols>
    <col min="1" max="1" width="13.44140625" customWidth="1"/>
    <col min="2" max="2" width="13" customWidth="1"/>
    <col min="3" max="3" width="9" customWidth="1"/>
    <col min="5" max="5" width="10.5546875" customWidth="1"/>
    <col min="6" max="6" width="10.33203125" bestFit="1" customWidth="1"/>
    <col min="11" max="11" width="17.33203125" bestFit="1" customWidth="1"/>
    <col min="12" max="12" width="19.5546875" bestFit="1" customWidth="1"/>
    <col min="13" max="13" width="5.21875" bestFit="1" customWidth="1"/>
    <col min="14" max="14" width="38.109375" bestFit="1" customWidth="1"/>
    <col min="15" max="15" width="13.88671875" bestFit="1" customWidth="1"/>
    <col min="16" max="16" width="15.77734375" bestFit="1" customWidth="1"/>
    <col min="17" max="17" width="10.77734375" bestFit="1" customWidth="1"/>
    <col min="18" max="18" width="5.21875" bestFit="1" customWidth="1"/>
    <col min="19" max="19" width="12.5546875" bestFit="1" customWidth="1"/>
    <col min="20" max="20" width="19.5546875" bestFit="1" customWidth="1"/>
    <col min="21" max="21" width="15.77734375" bestFit="1" customWidth="1"/>
    <col min="22" max="22" width="10.5546875" bestFit="1" customWidth="1"/>
    <col min="23" max="24" width="19.5546875" bestFit="1" customWidth="1"/>
    <col min="25" max="25" width="3.33203125" bestFit="1" customWidth="1"/>
    <col min="26" max="26" width="2.5546875" bestFit="1" customWidth="1"/>
    <col min="27" max="27" width="5.21875" bestFit="1" customWidth="1"/>
    <col min="28" max="28" width="7.77734375" bestFit="1" customWidth="1"/>
    <col min="29" max="29" width="10.77734375" bestFit="1" customWidth="1"/>
    <col min="30" max="41" width="6" bestFit="1" customWidth="1"/>
    <col min="42" max="42" width="13.33203125" bestFit="1" customWidth="1"/>
    <col min="43" max="43" width="10.77734375" bestFit="1" customWidth="1"/>
  </cols>
  <sheetData>
    <row r="1" spans="1:33" ht="23.4" x14ac:dyDescent="0.3">
      <c r="A1" s="2" t="s">
        <v>22</v>
      </c>
      <c r="B1" s="2" t="s">
        <v>23</v>
      </c>
      <c r="C1" s="2" t="s">
        <v>24</v>
      </c>
      <c r="D1" s="2" t="s">
        <v>25</v>
      </c>
      <c r="E1" s="2" t="s">
        <v>26</v>
      </c>
      <c r="F1" s="2" t="s">
        <v>27</v>
      </c>
      <c r="G1" s="2" t="s">
        <v>28</v>
      </c>
      <c r="H1" s="2" t="s">
        <v>29</v>
      </c>
      <c r="K1" s="3" t="s">
        <v>28</v>
      </c>
      <c r="L1" t="s">
        <v>38</v>
      </c>
      <c r="T1" s="20" t="s">
        <v>242</v>
      </c>
      <c r="U1" s="20"/>
      <c r="V1" s="20"/>
      <c r="W1" s="20"/>
      <c r="X1" s="20"/>
      <c r="Y1" s="20"/>
      <c r="Z1" s="20"/>
      <c r="AA1" s="20"/>
      <c r="AB1" s="20"/>
      <c r="AC1" s="20"/>
      <c r="AD1" s="20"/>
      <c r="AE1" s="20"/>
      <c r="AF1" s="20"/>
      <c r="AG1" s="20"/>
    </row>
    <row r="2" spans="1:33" ht="15.6" x14ac:dyDescent="0.3">
      <c r="A2" t="s">
        <v>30</v>
      </c>
      <c r="B2" t="s">
        <v>31</v>
      </c>
      <c r="C2" t="s">
        <v>32</v>
      </c>
      <c r="D2">
        <v>48</v>
      </c>
      <c r="E2" s="1">
        <v>44956</v>
      </c>
      <c r="F2" s="1">
        <v>45442</v>
      </c>
      <c r="G2" t="s">
        <v>33</v>
      </c>
      <c r="H2">
        <v>57360</v>
      </c>
      <c r="J2" s="8" t="s">
        <v>257</v>
      </c>
      <c r="K2" s="8"/>
      <c r="L2" s="8"/>
      <c r="N2" s="12" t="s">
        <v>259</v>
      </c>
      <c r="O2" s="12"/>
      <c r="P2" s="12"/>
    </row>
    <row r="3" spans="1:33" x14ac:dyDescent="0.3">
      <c r="A3" t="s">
        <v>34</v>
      </c>
      <c r="B3" t="s">
        <v>35</v>
      </c>
      <c r="C3" t="s">
        <v>32</v>
      </c>
      <c r="D3">
        <v>44</v>
      </c>
      <c r="E3" s="1">
        <v>44961</v>
      </c>
      <c r="F3" s="1">
        <v>45625</v>
      </c>
      <c r="G3" t="s">
        <v>33</v>
      </c>
      <c r="H3">
        <v>39014</v>
      </c>
      <c r="K3" s="3" t="s">
        <v>23</v>
      </c>
      <c r="L3" t="s">
        <v>191</v>
      </c>
      <c r="N3" s="3" t="s">
        <v>23</v>
      </c>
      <c r="O3" t="s">
        <v>193</v>
      </c>
      <c r="P3" t="s">
        <v>194</v>
      </c>
    </row>
    <row r="4" spans="1:33" x14ac:dyDescent="0.3">
      <c r="A4" t="s">
        <v>36</v>
      </c>
      <c r="B4" t="s">
        <v>35</v>
      </c>
      <c r="C4" t="s">
        <v>37</v>
      </c>
      <c r="D4">
        <v>44</v>
      </c>
      <c r="E4" s="1">
        <v>44534</v>
      </c>
      <c r="F4" s="1"/>
      <c r="G4" t="s">
        <v>38</v>
      </c>
      <c r="H4">
        <v>30083</v>
      </c>
      <c r="K4" s="4" t="s">
        <v>31</v>
      </c>
      <c r="L4">
        <v>2</v>
      </c>
      <c r="N4" s="4" t="s">
        <v>43</v>
      </c>
      <c r="O4" s="5">
        <v>34.75</v>
      </c>
      <c r="P4" s="5">
        <v>71203.75</v>
      </c>
    </row>
    <row r="5" spans="1:33" x14ac:dyDescent="0.3">
      <c r="A5" t="s">
        <v>39</v>
      </c>
      <c r="B5" t="s">
        <v>31</v>
      </c>
      <c r="C5" t="s">
        <v>37</v>
      </c>
      <c r="D5">
        <v>23</v>
      </c>
      <c r="E5" s="1">
        <v>44320</v>
      </c>
      <c r="F5" s="1">
        <v>45176</v>
      </c>
      <c r="G5" t="s">
        <v>33</v>
      </c>
      <c r="H5">
        <v>71032</v>
      </c>
      <c r="K5" s="4" t="s">
        <v>35</v>
      </c>
      <c r="L5">
        <v>5</v>
      </c>
      <c r="N5" s="4" t="s">
        <v>31</v>
      </c>
      <c r="O5" s="5">
        <v>35</v>
      </c>
      <c r="P5" s="5">
        <v>67847</v>
      </c>
    </row>
    <row r="6" spans="1:33" x14ac:dyDescent="0.3">
      <c r="A6" t="s">
        <v>40</v>
      </c>
      <c r="B6" t="s">
        <v>35</v>
      </c>
      <c r="C6" t="s">
        <v>32</v>
      </c>
      <c r="D6">
        <v>48</v>
      </c>
      <c r="E6" s="1">
        <v>44648</v>
      </c>
      <c r="F6" s="1"/>
      <c r="G6" t="s">
        <v>38</v>
      </c>
      <c r="H6">
        <v>46427</v>
      </c>
      <c r="K6" s="4" t="s">
        <v>46</v>
      </c>
      <c r="L6">
        <v>1</v>
      </c>
      <c r="N6" s="4" t="s">
        <v>35</v>
      </c>
      <c r="O6" s="5">
        <v>37.428571428571431</v>
      </c>
      <c r="P6" s="5">
        <v>60920.857142857145</v>
      </c>
    </row>
    <row r="7" spans="1:33" x14ac:dyDescent="0.3">
      <c r="A7" t="s">
        <v>41</v>
      </c>
      <c r="B7" t="s">
        <v>35</v>
      </c>
      <c r="C7" t="s">
        <v>32</v>
      </c>
      <c r="D7">
        <v>36</v>
      </c>
      <c r="E7" s="1">
        <v>45000</v>
      </c>
      <c r="F7" s="1">
        <v>45614</v>
      </c>
      <c r="G7" t="s">
        <v>33</v>
      </c>
      <c r="H7">
        <v>104801</v>
      </c>
      <c r="K7" s="4" t="s">
        <v>49</v>
      </c>
      <c r="L7">
        <v>2</v>
      </c>
      <c r="N7" s="4" t="s">
        <v>46</v>
      </c>
      <c r="O7" s="5">
        <v>33.200000000000003</v>
      </c>
      <c r="P7" s="5">
        <v>67311.399999999994</v>
      </c>
    </row>
    <row r="8" spans="1:33" x14ac:dyDescent="0.3">
      <c r="A8" t="s">
        <v>42</v>
      </c>
      <c r="B8" t="s">
        <v>43</v>
      </c>
      <c r="C8" t="s">
        <v>37</v>
      </c>
      <c r="D8">
        <v>31</v>
      </c>
      <c r="E8" s="1">
        <v>45003</v>
      </c>
      <c r="F8" s="1">
        <v>45668</v>
      </c>
      <c r="G8" t="s">
        <v>33</v>
      </c>
      <c r="H8">
        <v>63913</v>
      </c>
      <c r="K8" s="4" t="s">
        <v>177</v>
      </c>
      <c r="L8">
        <v>10</v>
      </c>
      <c r="N8" s="4" t="s">
        <v>49</v>
      </c>
      <c r="O8" s="5">
        <v>39.666666666666664</v>
      </c>
      <c r="P8" s="5">
        <v>67625.833333333328</v>
      </c>
    </row>
    <row r="9" spans="1:33" x14ac:dyDescent="0.3">
      <c r="A9" t="s">
        <v>44</v>
      </c>
      <c r="B9" t="s">
        <v>31</v>
      </c>
      <c r="C9" t="s">
        <v>37</v>
      </c>
      <c r="D9">
        <v>39</v>
      </c>
      <c r="E9" s="1">
        <v>43867</v>
      </c>
      <c r="F9" s="1"/>
      <c r="G9" t="s">
        <v>38</v>
      </c>
      <c r="H9">
        <v>79964</v>
      </c>
      <c r="N9" s="4" t="s">
        <v>177</v>
      </c>
      <c r="O9" s="5">
        <v>36.133333333333333</v>
      </c>
      <c r="P9" s="5">
        <v>66992.53333333334</v>
      </c>
    </row>
    <row r="10" spans="1:33" ht="15.6" x14ac:dyDescent="0.3">
      <c r="A10" t="s">
        <v>45</v>
      </c>
      <c r="B10" t="s">
        <v>46</v>
      </c>
      <c r="C10" t="s">
        <v>37</v>
      </c>
      <c r="D10">
        <v>41</v>
      </c>
      <c r="E10" s="1">
        <v>44395</v>
      </c>
      <c r="F10" s="1">
        <v>45042</v>
      </c>
      <c r="G10" t="s">
        <v>33</v>
      </c>
      <c r="H10">
        <v>71187</v>
      </c>
      <c r="K10" s="12" t="s">
        <v>258</v>
      </c>
      <c r="L10" s="9"/>
      <c r="M10" s="9"/>
    </row>
    <row r="11" spans="1:33" x14ac:dyDescent="0.3">
      <c r="A11" t="s">
        <v>47</v>
      </c>
      <c r="B11" t="s">
        <v>43</v>
      </c>
      <c r="C11" t="s">
        <v>37</v>
      </c>
      <c r="D11">
        <v>33</v>
      </c>
      <c r="E11" s="1">
        <v>44160</v>
      </c>
      <c r="F11" s="1">
        <v>44520</v>
      </c>
      <c r="G11" t="s">
        <v>33</v>
      </c>
      <c r="H11">
        <v>85778</v>
      </c>
      <c r="K11" s="3" t="s">
        <v>208</v>
      </c>
      <c r="L11" s="3" t="s">
        <v>192</v>
      </c>
    </row>
    <row r="12" spans="1:33" x14ac:dyDescent="0.3">
      <c r="A12" t="s">
        <v>48</v>
      </c>
      <c r="B12" t="s">
        <v>49</v>
      </c>
      <c r="C12" t="s">
        <v>32</v>
      </c>
      <c r="D12">
        <v>44</v>
      </c>
      <c r="E12" s="1">
        <v>45279</v>
      </c>
      <c r="F12" s="1">
        <v>45887</v>
      </c>
      <c r="G12" t="s">
        <v>33</v>
      </c>
      <c r="H12">
        <v>38642</v>
      </c>
      <c r="K12" s="3" t="s">
        <v>23</v>
      </c>
      <c r="L12" t="s">
        <v>32</v>
      </c>
      <c r="M12" t="s">
        <v>37</v>
      </c>
      <c r="N12" t="s">
        <v>177</v>
      </c>
    </row>
    <row r="13" spans="1:33" x14ac:dyDescent="0.3">
      <c r="A13" t="s">
        <v>50</v>
      </c>
      <c r="B13" t="s">
        <v>43</v>
      </c>
      <c r="C13" t="s">
        <v>37</v>
      </c>
      <c r="D13">
        <v>39</v>
      </c>
      <c r="E13" s="1">
        <v>44960</v>
      </c>
      <c r="F13" s="1">
        <v>45491</v>
      </c>
      <c r="G13" t="s">
        <v>33</v>
      </c>
      <c r="H13">
        <v>52972</v>
      </c>
      <c r="K13" s="4" t="s">
        <v>43</v>
      </c>
      <c r="L13">
        <v>2</v>
      </c>
      <c r="M13">
        <v>6</v>
      </c>
      <c r="N13">
        <v>8</v>
      </c>
    </row>
    <row r="14" spans="1:33" x14ac:dyDescent="0.3">
      <c r="A14" t="s">
        <v>51</v>
      </c>
      <c r="B14" t="s">
        <v>49</v>
      </c>
      <c r="C14" t="s">
        <v>37</v>
      </c>
      <c r="D14">
        <v>49</v>
      </c>
      <c r="E14" s="1">
        <v>44227</v>
      </c>
      <c r="F14" s="1">
        <v>44318</v>
      </c>
      <c r="G14" t="s">
        <v>33</v>
      </c>
      <c r="H14">
        <v>105379</v>
      </c>
      <c r="K14" s="4" t="s">
        <v>31</v>
      </c>
      <c r="L14">
        <v>2</v>
      </c>
      <c r="M14">
        <v>2</v>
      </c>
      <c r="N14">
        <v>4</v>
      </c>
    </row>
    <row r="15" spans="1:33" x14ac:dyDescent="0.3">
      <c r="A15" t="s">
        <v>52</v>
      </c>
      <c r="B15" t="s">
        <v>35</v>
      </c>
      <c r="C15" t="s">
        <v>37</v>
      </c>
      <c r="D15">
        <v>34</v>
      </c>
      <c r="E15" s="1">
        <v>45119</v>
      </c>
      <c r="F15" s="1"/>
      <c r="G15" t="s">
        <v>38</v>
      </c>
      <c r="H15">
        <v>107731</v>
      </c>
      <c r="K15" s="4" t="s">
        <v>35</v>
      </c>
      <c r="L15">
        <v>3</v>
      </c>
      <c r="M15">
        <v>4</v>
      </c>
      <c r="N15">
        <v>7</v>
      </c>
    </row>
    <row r="16" spans="1:33" x14ac:dyDescent="0.3">
      <c r="A16" t="s">
        <v>53</v>
      </c>
      <c r="B16" t="s">
        <v>35</v>
      </c>
      <c r="C16" t="s">
        <v>37</v>
      </c>
      <c r="D16">
        <v>27</v>
      </c>
      <c r="E16" s="1">
        <v>44299</v>
      </c>
      <c r="F16" s="1"/>
      <c r="G16" t="s">
        <v>38</v>
      </c>
      <c r="H16">
        <v>32559</v>
      </c>
      <c r="K16" s="4" t="s">
        <v>46</v>
      </c>
      <c r="L16">
        <v>2</v>
      </c>
      <c r="M16">
        <v>3</v>
      </c>
      <c r="N16">
        <v>5</v>
      </c>
    </row>
    <row r="17" spans="1:24" x14ac:dyDescent="0.3">
      <c r="A17" t="s">
        <v>54</v>
      </c>
      <c r="B17" t="s">
        <v>43</v>
      </c>
      <c r="C17" t="s">
        <v>32</v>
      </c>
      <c r="D17">
        <v>44</v>
      </c>
      <c r="E17" s="1">
        <v>43882</v>
      </c>
      <c r="F17" s="1">
        <v>44477</v>
      </c>
      <c r="G17" t="s">
        <v>33</v>
      </c>
      <c r="H17">
        <v>55865</v>
      </c>
      <c r="K17" s="4" t="s">
        <v>49</v>
      </c>
      <c r="L17">
        <v>4</v>
      </c>
      <c r="M17">
        <v>2</v>
      </c>
      <c r="N17">
        <v>6</v>
      </c>
    </row>
    <row r="18" spans="1:24" x14ac:dyDescent="0.3">
      <c r="A18" t="s">
        <v>55</v>
      </c>
      <c r="B18" t="s">
        <v>43</v>
      </c>
      <c r="C18" t="s">
        <v>37</v>
      </c>
      <c r="D18">
        <v>25</v>
      </c>
      <c r="E18" s="1">
        <v>44776</v>
      </c>
      <c r="F18" s="1">
        <v>44949</v>
      </c>
      <c r="G18" t="s">
        <v>33</v>
      </c>
      <c r="H18">
        <v>98094</v>
      </c>
      <c r="K18" s="4" t="s">
        <v>177</v>
      </c>
      <c r="L18">
        <v>13</v>
      </c>
      <c r="M18">
        <v>17</v>
      </c>
      <c r="N18">
        <v>30</v>
      </c>
    </row>
    <row r="19" spans="1:24" ht="23.4" x14ac:dyDescent="0.45">
      <c r="A19" t="s">
        <v>56</v>
      </c>
      <c r="B19" t="s">
        <v>46</v>
      </c>
      <c r="C19" t="s">
        <v>32</v>
      </c>
      <c r="D19">
        <v>33</v>
      </c>
      <c r="E19" s="1">
        <v>44436</v>
      </c>
      <c r="F19" s="1"/>
      <c r="G19" t="s">
        <v>38</v>
      </c>
      <c r="H19">
        <v>90546</v>
      </c>
      <c r="T19" s="21" t="s">
        <v>246</v>
      </c>
      <c r="U19" s="22"/>
      <c r="W19" s="3" t="s">
        <v>178</v>
      </c>
      <c r="X19" t="s">
        <v>191</v>
      </c>
    </row>
    <row r="20" spans="1:24" ht="15.6" x14ac:dyDescent="0.3">
      <c r="A20" t="s">
        <v>57</v>
      </c>
      <c r="B20" t="s">
        <v>46</v>
      </c>
      <c r="C20" t="s">
        <v>37</v>
      </c>
      <c r="D20">
        <v>22</v>
      </c>
      <c r="E20" s="1">
        <v>43852</v>
      </c>
      <c r="F20" s="1">
        <v>44563</v>
      </c>
      <c r="G20" t="s">
        <v>33</v>
      </c>
      <c r="H20">
        <v>34566</v>
      </c>
      <c r="K20" s="12" t="s">
        <v>260</v>
      </c>
      <c r="T20" s="15" t="s">
        <v>201</v>
      </c>
      <c r="U20" s="16">
        <f>COUNTIF(G2:G31,"Active")</f>
        <v>10</v>
      </c>
      <c r="W20" s="4" t="s">
        <v>43</v>
      </c>
      <c r="X20">
        <v>1</v>
      </c>
    </row>
    <row r="21" spans="1:24" x14ac:dyDescent="0.3">
      <c r="A21" t="s">
        <v>58</v>
      </c>
      <c r="B21" t="s">
        <v>46</v>
      </c>
      <c r="C21" t="s">
        <v>32</v>
      </c>
      <c r="D21">
        <v>24</v>
      </c>
      <c r="E21" s="1">
        <v>44129</v>
      </c>
      <c r="F21" s="1">
        <v>44545</v>
      </c>
      <c r="G21" t="s">
        <v>33</v>
      </c>
      <c r="H21">
        <v>105366</v>
      </c>
      <c r="K21" s="3" t="s">
        <v>28</v>
      </c>
      <c r="L21" t="s">
        <v>33</v>
      </c>
      <c r="T21" s="15" t="s">
        <v>202</v>
      </c>
      <c r="U21" s="16">
        <f>AVERAGEIF(G3:G32, "Active", D3:D32)</f>
        <v>35.6</v>
      </c>
      <c r="W21" s="4" t="s">
        <v>31</v>
      </c>
      <c r="X21">
        <v>1</v>
      </c>
    </row>
    <row r="22" spans="1:24" x14ac:dyDescent="0.3">
      <c r="A22" t="s">
        <v>59</v>
      </c>
      <c r="B22" t="s">
        <v>31</v>
      </c>
      <c r="C22" t="s">
        <v>32</v>
      </c>
      <c r="D22">
        <v>30</v>
      </c>
      <c r="E22" s="1">
        <v>44624</v>
      </c>
      <c r="F22" s="1"/>
      <c r="G22" t="s">
        <v>38</v>
      </c>
      <c r="H22">
        <v>63032</v>
      </c>
      <c r="T22" s="17" t="s">
        <v>203</v>
      </c>
      <c r="U22" s="18">
        <f>AVERAGEIF(G3:G32, "Active",H2:H31)</f>
        <v>73135.399999999994</v>
      </c>
      <c r="W22" s="4" t="s">
        <v>46</v>
      </c>
      <c r="X22">
        <v>1</v>
      </c>
    </row>
    <row r="23" spans="1:24" x14ac:dyDescent="0.3">
      <c r="A23" t="s">
        <v>60</v>
      </c>
      <c r="B23" t="s">
        <v>35</v>
      </c>
      <c r="C23" t="s">
        <v>37</v>
      </c>
      <c r="D23">
        <v>29</v>
      </c>
      <c r="E23" s="1">
        <v>44464</v>
      </c>
      <c r="F23" s="1"/>
      <c r="G23" t="s">
        <v>38</v>
      </c>
      <c r="H23">
        <v>65831</v>
      </c>
      <c r="K23" s="3" t="s">
        <v>208</v>
      </c>
      <c r="L23" s="3" t="s">
        <v>192</v>
      </c>
      <c r="W23" s="4" t="s">
        <v>49</v>
      </c>
      <c r="X23">
        <v>1</v>
      </c>
    </row>
    <row r="24" spans="1:24" x14ac:dyDescent="0.3">
      <c r="A24" t="s">
        <v>61</v>
      </c>
      <c r="B24" t="s">
        <v>46</v>
      </c>
      <c r="C24" t="s">
        <v>37</v>
      </c>
      <c r="D24">
        <v>46</v>
      </c>
      <c r="E24" s="1">
        <v>44898</v>
      </c>
      <c r="F24" s="1">
        <v>45264</v>
      </c>
      <c r="G24" t="s">
        <v>33</v>
      </c>
      <c r="H24">
        <v>34892</v>
      </c>
      <c r="K24" s="3" t="s">
        <v>207</v>
      </c>
      <c r="L24" t="s">
        <v>43</v>
      </c>
      <c r="M24" t="s">
        <v>31</v>
      </c>
      <c r="N24" t="s">
        <v>35</v>
      </c>
      <c r="O24" t="s">
        <v>46</v>
      </c>
      <c r="P24" t="s">
        <v>49</v>
      </c>
      <c r="Q24" t="s">
        <v>177</v>
      </c>
      <c r="W24" s="4" t="s">
        <v>177</v>
      </c>
      <c r="X24">
        <v>4</v>
      </c>
    </row>
    <row r="25" spans="1:24" x14ac:dyDescent="0.3">
      <c r="A25" t="s">
        <v>62</v>
      </c>
      <c r="B25" t="s">
        <v>49</v>
      </c>
      <c r="C25" t="s">
        <v>32</v>
      </c>
      <c r="D25">
        <v>31</v>
      </c>
      <c r="E25" s="1">
        <v>43884</v>
      </c>
      <c r="F25" s="1"/>
      <c r="G25" t="s">
        <v>38</v>
      </c>
      <c r="H25">
        <v>31149</v>
      </c>
      <c r="K25" s="4" t="s">
        <v>195</v>
      </c>
      <c r="L25">
        <v>2</v>
      </c>
      <c r="O25">
        <v>1</v>
      </c>
      <c r="P25">
        <v>1</v>
      </c>
      <c r="Q25">
        <v>4</v>
      </c>
    </row>
    <row r="26" spans="1:24" x14ac:dyDescent="0.3">
      <c r="A26" t="s">
        <v>63</v>
      </c>
      <c r="B26" t="s">
        <v>43</v>
      </c>
      <c r="C26" t="s">
        <v>32</v>
      </c>
      <c r="D26">
        <v>41</v>
      </c>
      <c r="E26" s="1">
        <v>45208</v>
      </c>
      <c r="F26" s="1">
        <v>45449</v>
      </c>
      <c r="G26" t="s">
        <v>33</v>
      </c>
      <c r="H26">
        <v>42901</v>
      </c>
      <c r="K26" s="4" t="s">
        <v>196</v>
      </c>
      <c r="O26">
        <v>1</v>
      </c>
      <c r="Q26">
        <v>1</v>
      </c>
    </row>
    <row r="27" spans="1:24" x14ac:dyDescent="0.3">
      <c r="A27" t="s">
        <v>64</v>
      </c>
      <c r="B27" t="s">
        <v>49</v>
      </c>
      <c r="C27" t="s">
        <v>37</v>
      </c>
      <c r="D27">
        <v>41</v>
      </c>
      <c r="E27" s="1">
        <v>45147</v>
      </c>
      <c r="F27" s="1"/>
      <c r="G27" t="s">
        <v>38</v>
      </c>
      <c r="H27">
        <v>84454</v>
      </c>
      <c r="K27" s="4" t="s">
        <v>197</v>
      </c>
      <c r="L27">
        <v>1</v>
      </c>
      <c r="M27">
        <v>1</v>
      </c>
      <c r="O27">
        <v>2</v>
      </c>
      <c r="P27">
        <v>1</v>
      </c>
      <c r="Q27">
        <v>5</v>
      </c>
    </row>
    <row r="28" spans="1:24" x14ac:dyDescent="0.3">
      <c r="A28" t="s">
        <v>65</v>
      </c>
      <c r="B28" t="s">
        <v>49</v>
      </c>
      <c r="C28" t="s">
        <v>32</v>
      </c>
      <c r="D28">
        <v>32</v>
      </c>
      <c r="E28" s="1">
        <v>44601</v>
      </c>
      <c r="F28" s="1">
        <v>45366</v>
      </c>
      <c r="G28" t="s">
        <v>33</v>
      </c>
      <c r="H28">
        <v>57114</v>
      </c>
      <c r="K28" s="4" t="s">
        <v>198</v>
      </c>
      <c r="L28">
        <v>2</v>
      </c>
      <c r="M28">
        <v>1</v>
      </c>
      <c r="N28">
        <v>2</v>
      </c>
      <c r="P28">
        <v>1</v>
      </c>
      <c r="Q28">
        <v>6</v>
      </c>
    </row>
    <row r="29" spans="1:24" x14ac:dyDescent="0.3">
      <c r="A29" t="s">
        <v>66</v>
      </c>
      <c r="B29" t="s">
        <v>43</v>
      </c>
      <c r="C29" t="s">
        <v>37</v>
      </c>
      <c r="D29">
        <v>37</v>
      </c>
      <c r="E29" s="1">
        <v>45179</v>
      </c>
      <c r="F29" s="1">
        <v>45718</v>
      </c>
      <c r="G29" t="s">
        <v>33</v>
      </c>
      <c r="H29">
        <v>64488</v>
      </c>
      <c r="K29" s="4" t="s">
        <v>199</v>
      </c>
      <c r="L29">
        <v>2</v>
      </c>
      <c r="P29">
        <v>1</v>
      </c>
      <c r="Q29">
        <v>3</v>
      </c>
    </row>
    <row r="30" spans="1:24" x14ac:dyDescent="0.3">
      <c r="A30" t="s">
        <v>67</v>
      </c>
      <c r="B30" t="s">
        <v>49</v>
      </c>
      <c r="C30" t="s">
        <v>32</v>
      </c>
      <c r="D30">
        <v>41</v>
      </c>
      <c r="E30" s="1">
        <v>44739</v>
      </c>
      <c r="F30" s="1">
        <v>45289</v>
      </c>
      <c r="G30" t="s">
        <v>33</v>
      </c>
      <c r="H30">
        <v>89017</v>
      </c>
      <c r="K30" s="4" t="s">
        <v>200</v>
      </c>
      <c r="L30">
        <v>1</v>
      </c>
      <c r="Q30">
        <v>1</v>
      </c>
    </row>
    <row r="31" spans="1:24" x14ac:dyDescent="0.3">
      <c r="A31" t="s">
        <v>68</v>
      </c>
      <c r="B31" t="s">
        <v>43</v>
      </c>
      <c r="C31" t="s">
        <v>37</v>
      </c>
      <c r="D31">
        <v>28</v>
      </c>
      <c r="E31" s="1">
        <v>45210</v>
      </c>
      <c r="F31" s="1">
        <v>46054</v>
      </c>
      <c r="G31" t="s">
        <v>33</v>
      </c>
      <c r="H31">
        <v>105619</v>
      </c>
      <c r="K31" s="4" t="s">
        <v>177</v>
      </c>
      <c r="L31">
        <v>8</v>
      </c>
      <c r="M31">
        <v>2</v>
      </c>
      <c r="N31">
        <v>2</v>
      </c>
      <c r="O31">
        <v>4</v>
      </c>
      <c r="P31">
        <v>4</v>
      </c>
      <c r="Q31">
        <v>20</v>
      </c>
    </row>
  </sheetData>
  <mergeCells count="2">
    <mergeCell ref="T1:AG1"/>
    <mergeCell ref="T19:U19"/>
  </mergeCells>
  <pageMargins left="0.75" right="0.75" top="1" bottom="1" header="0.5" footer="0.5"/>
  <drawing r:id="rId6"/>
  <tableParts count="1">
    <tablePart r:id="rId7"/>
  </tableParts>
  <extLst>
    <ext xmlns:x15="http://schemas.microsoft.com/office/spreadsheetml/2010/11/main" uri="{7E03D99C-DC04-49d9-9315-930204A7B6E9}">
      <x15:timelineRefs>
        <x15:timelineRef r:id="rId8"/>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40"/>
  <sheetViews>
    <sheetView topLeftCell="M1" workbookViewId="0">
      <selection activeCell="Z18" sqref="Z18"/>
    </sheetView>
  </sheetViews>
  <sheetFormatPr defaultRowHeight="14.4" x14ac:dyDescent="0.3"/>
  <cols>
    <col min="1" max="1" width="11.77734375" customWidth="1"/>
    <col min="2" max="2" width="17.5546875" customWidth="1"/>
    <col min="3" max="3" width="12.44140625" customWidth="1"/>
    <col min="4" max="4" width="15.109375" customWidth="1"/>
    <col min="5" max="5" width="14.33203125" customWidth="1"/>
    <col min="6" max="6" width="19.44140625" customWidth="1"/>
    <col min="7" max="7" width="10.33203125" bestFit="1" customWidth="1"/>
    <col min="8" max="8" width="14" customWidth="1"/>
    <col min="9" max="9" width="18.33203125" bestFit="1" customWidth="1"/>
    <col min="10" max="10" width="18.33203125" customWidth="1"/>
    <col min="11" max="11" width="26.109375" customWidth="1"/>
    <col min="12" max="12" width="24.33203125" bestFit="1" customWidth="1"/>
    <col min="13" max="13" width="19.109375" bestFit="1" customWidth="1"/>
    <col min="14" max="14" width="18" bestFit="1" customWidth="1"/>
    <col min="15" max="15" width="9.6640625" bestFit="1" customWidth="1"/>
    <col min="16" max="16" width="10.77734375" bestFit="1" customWidth="1"/>
    <col min="25" max="25" width="8.88671875" customWidth="1"/>
    <col min="29" max="29" width="18" bestFit="1" customWidth="1"/>
    <col min="30" max="31" width="18.77734375" bestFit="1" customWidth="1"/>
    <col min="32" max="32" width="19.109375" bestFit="1" customWidth="1"/>
  </cols>
  <sheetData>
    <row r="1" spans="1:30" ht="23.4" x14ac:dyDescent="0.35">
      <c r="A1" s="2" t="s">
        <v>69</v>
      </c>
      <c r="B1" s="2" t="s">
        <v>70</v>
      </c>
      <c r="C1" s="2" t="s">
        <v>71</v>
      </c>
      <c r="D1" s="2" t="s">
        <v>72</v>
      </c>
      <c r="E1" s="2" t="s">
        <v>73</v>
      </c>
      <c r="F1" s="2" t="s">
        <v>74</v>
      </c>
      <c r="G1" s="2" t="s">
        <v>0</v>
      </c>
      <c r="H1" s="2" t="s">
        <v>75</v>
      </c>
      <c r="I1" s="2" t="s">
        <v>209</v>
      </c>
      <c r="J1" s="7"/>
      <c r="K1" s="13" t="s">
        <v>255</v>
      </c>
      <c r="Q1" s="20" t="s">
        <v>242</v>
      </c>
      <c r="R1" s="20"/>
      <c r="S1" s="20"/>
      <c r="T1" s="20"/>
      <c r="U1" s="20"/>
      <c r="V1" s="20"/>
      <c r="W1" s="20"/>
      <c r="X1" s="20"/>
      <c r="Y1" s="20"/>
      <c r="Z1" s="20"/>
      <c r="AA1" s="20"/>
      <c r="AB1" s="20"/>
      <c r="AC1" s="20"/>
      <c r="AD1" s="20"/>
    </row>
    <row r="2" spans="1:30" x14ac:dyDescent="0.3">
      <c r="A2" t="s">
        <v>76</v>
      </c>
      <c r="B2" t="s">
        <v>77</v>
      </c>
      <c r="C2" t="s">
        <v>78</v>
      </c>
      <c r="D2">
        <v>120</v>
      </c>
      <c r="E2">
        <v>80</v>
      </c>
      <c r="F2">
        <v>84</v>
      </c>
      <c r="G2" s="1">
        <v>45155</v>
      </c>
      <c r="H2">
        <v>124</v>
      </c>
      <c r="I2">
        <f t="shared" ref="I2:I31" si="0">F2-E2</f>
        <v>4</v>
      </c>
      <c r="K2" s="3" t="s">
        <v>70</v>
      </c>
      <c r="L2" t="s">
        <v>204</v>
      </c>
      <c r="M2" t="s">
        <v>205</v>
      </c>
    </row>
    <row r="3" spans="1:30" x14ac:dyDescent="0.3">
      <c r="A3" t="s">
        <v>79</v>
      </c>
      <c r="B3" t="s">
        <v>80</v>
      </c>
      <c r="C3" t="s">
        <v>81</v>
      </c>
      <c r="D3">
        <v>132</v>
      </c>
      <c r="E3">
        <v>54</v>
      </c>
      <c r="F3">
        <v>28</v>
      </c>
      <c r="G3" s="1">
        <v>45189</v>
      </c>
      <c r="H3">
        <v>106</v>
      </c>
      <c r="I3">
        <f t="shared" si="0"/>
        <v>-26</v>
      </c>
      <c r="K3" s="4" t="s">
        <v>77</v>
      </c>
      <c r="L3">
        <v>250</v>
      </c>
      <c r="M3">
        <v>206</v>
      </c>
    </row>
    <row r="4" spans="1:30" x14ac:dyDescent="0.3">
      <c r="A4" t="s">
        <v>82</v>
      </c>
      <c r="B4" t="s">
        <v>77</v>
      </c>
      <c r="C4" t="s">
        <v>78</v>
      </c>
      <c r="D4">
        <v>54</v>
      </c>
      <c r="E4">
        <v>79</v>
      </c>
      <c r="F4">
        <v>25</v>
      </c>
      <c r="G4" s="1">
        <v>44983</v>
      </c>
      <c r="H4">
        <v>0</v>
      </c>
      <c r="I4">
        <f t="shared" si="0"/>
        <v>-54</v>
      </c>
      <c r="K4" s="4" t="s">
        <v>80</v>
      </c>
      <c r="L4">
        <v>205</v>
      </c>
      <c r="M4">
        <v>244</v>
      </c>
      <c r="AC4" s="3" t="s">
        <v>70</v>
      </c>
      <c r="AD4" t="s">
        <v>206</v>
      </c>
    </row>
    <row r="5" spans="1:30" x14ac:dyDescent="0.3">
      <c r="A5" t="s">
        <v>83</v>
      </c>
      <c r="B5" t="s">
        <v>77</v>
      </c>
      <c r="C5" t="s">
        <v>84</v>
      </c>
      <c r="D5">
        <v>184</v>
      </c>
      <c r="E5">
        <v>75</v>
      </c>
      <c r="F5">
        <v>81</v>
      </c>
      <c r="G5" s="1">
        <v>45214</v>
      </c>
      <c r="H5">
        <v>190</v>
      </c>
      <c r="I5">
        <f t="shared" si="0"/>
        <v>6</v>
      </c>
      <c r="K5" s="4" t="s">
        <v>86</v>
      </c>
      <c r="L5">
        <v>186</v>
      </c>
      <c r="M5">
        <v>164</v>
      </c>
      <c r="AC5" s="4" t="s">
        <v>79</v>
      </c>
      <c r="AD5">
        <v>106</v>
      </c>
    </row>
    <row r="6" spans="1:30" x14ac:dyDescent="0.3">
      <c r="A6" t="s">
        <v>85</v>
      </c>
      <c r="B6" t="s">
        <v>86</v>
      </c>
      <c r="C6" t="s">
        <v>78</v>
      </c>
      <c r="D6">
        <v>100</v>
      </c>
      <c r="E6">
        <v>44</v>
      </c>
      <c r="F6">
        <v>29</v>
      </c>
      <c r="G6" s="1">
        <v>45278</v>
      </c>
      <c r="H6">
        <v>85</v>
      </c>
      <c r="I6">
        <f t="shared" si="0"/>
        <v>-15</v>
      </c>
      <c r="K6" s="4" t="s">
        <v>177</v>
      </c>
      <c r="L6">
        <v>641</v>
      </c>
      <c r="M6">
        <v>614</v>
      </c>
      <c r="AC6" s="4" t="s">
        <v>87</v>
      </c>
      <c r="AD6">
        <v>159</v>
      </c>
    </row>
    <row r="7" spans="1:30" x14ac:dyDescent="0.3">
      <c r="A7" t="s">
        <v>87</v>
      </c>
      <c r="B7" t="s">
        <v>80</v>
      </c>
      <c r="C7" t="s">
        <v>81</v>
      </c>
      <c r="D7">
        <v>163</v>
      </c>
      <c r="E7">
        <v>67</v>
      </c>
      <c r="F7">
        <v>63</v>
      </c>
      <c r="G7" s="1">
        <v>45269</v>
      </c>
      <c r="H7">
        <v>159</v>
      </c>
      <c r="I7">
        <f t="shared" si="0"/>
        <v>-4</v>
      </c>
      <c r="AC7" s="4" t="s">
        <v>89</v>
      </c>
      <c r="AD7">
        <v>239</v>
      </c>
    </row>
    <row r="8" spans="1:30" ht="15.6" x14ac:dyDescent="0.3">
      <c r="A8" t="s">
        <v>88</v>
      </c>
      <c r="B8" t="s">
        <v>86</v>
      </c>
      <c r="C8" t="s">
        <v>78</v>
      </c>
      <c r="D8">
        <v>196</v>
      </c>
      <c r="E8">
        <v>64</v>
      </c>
      <c r="F8">
        <v>44</v>
      </c>
      <c r="G8" s="1">
        <v>45191</v>
      </c>
      <c r="H8">
        <v>176</v>
      </c>
      <c r="I8">
        <f t="shared" si="0"/>
        <v>-20</v>
      </c>
      <c r="K8" s="12" t="s">
        <v>256</v>
      </c>
      <c r="AC8" s="4" t="s">
        <v>91</v>
      </c>
      <c r="AD8">
        <v>126</v>
      </c>
    </row>
    <row r="9" spans="1:30" x14ac:dyDescent="0.3">
      <c r="A9" t="s">
        <v>89</v>
      </c>
      <c r="B9" t="s">
        <v>77</v>
      </c>
      <c r="C9" t="s">
        <v>81</v>
      </c>
      <c r="D9">
        <v>194</v>
      </c>
      <c r="E9">
        <v>46</v>
      </c>
      <c r="F9">
        <v>91</v>
      </c>
      <c r="G9" s="1">
        <v>45224</v>
      </c>
      <c r="H9">
        <v>239</v>
      </c>
      <c r="I9">
        <f t="shared" si="0"/>
        <v>45</v>
      </c>
      <c r="K9" s="3" t="s">
        <v>70</v>
      </c>
      <c r="L9" t="s">
        <v>206</v>
      </c>
      <c r="AC9" s="4" t="s">
        <v>92</v>
      </c>
      <c r="AD9">
        <v>181</v>
      </c>
    </row>
    <row r="10" spans="1:30" x14ac:dyDescent="0.3">
      <c r="A10" t="s">
        <v>90</v>
      </c>
      <c r="B10" t="s">
        <v>86</v>
      </c>
      <c r="C10" t="s">
        <v>78</v>
      </c>
      <c r="D10">
        <v>95</v>
      </c>
      <c r="E10">
        <v>15</v>
      </c>
      <c r="F10">
        <v>49</v>
      </c>
      <c r="G10" s="1">
        <v>45094</v>
      </c>
      <c r="H10">
        <v>129</v>
      </c>
      <c r="I10">
        <f t="shared" si="0"/>
        <v>34</v>
      </c>
      <c r="K10" s="4" t="s">
        <v>77</v>
      </c>
      <c r="L10">
        <v>1874</v>
      </c>
      <c r="AC10" s="4" t="s">
        <v>93</v>
      </c>
      <c r="AD10">
        <v>105</v>
      </c>
    </row>
    <row r="11" spans="1:30" x14ac:dyDescent="0.3">
      <c r="A11" t="s">
        <v>91</v>
      </c>
      <c r="B11" t="s">
        <v>86</v>
      </c>
      <c r="C11" t="s">
        <v>81</v>
      </c>
      <c r="D11">
        <v>97</v>
      </c>
      <c r="E11">
        <v>33</v>
      </c>
      <c r="F11">
        <v>62</v>
      </c>
      <c r="G11" s="1">
        <v>44972</v>
      </c>
      <c r="H11">
        <v>126</v>
      </c>
      <c r="I11">
        <f t="shared" si="0"/>
        <v>29</v>
      </c>
      <c r="K11" s="4" t="s">
        <v>80</v>
      </c>
      <c r="L11">
        <v>592</v>
      </c>
      <c r="AC11" s="4" t="s">
        <v>94</v>
      </c>
      <c r="AD11">
        <v>135</v>
      </c>
    </row>
    <row r="12" spans="1:30" x14ac:dyDescent="0.3">
      <c r="A12" t="s">
        <v>92</v>
      </c>
      <c r="B12" t="s">
        <v>86</v>
      </c>
      <c r="C12" t="s">
        <v>81</v>
      </c>
      <c r="D12">
        <v>177</v>
      </c>
      <c r="E12">
        <v>63</v>
      </c>
      <c r="F12">
        <v>67</v>
      </c>
      <c r="G12" s="1">
        <v>44947</v>
      </c>
      <c r="H12">
        <v>181</v>
      </c>
      <c r="I12">
        <f t="shared" si="0"/>
        <v>4</v>
      </c>
      <c r="K12" s="4" t="s">
        <v>86</v>
      </c>
      <c r="L12">
        <v>1343</v>
      </c>
      <c r="AC12" s="4" t="s">
        <v>95</v>
      </c>
      <c r="AD12">
        <v>182</v>
      </c>
    </row>
    <row r="13" spans="1:30" x14ac:dyDescent="0.3">
      <c r="A13" t="s">
        <v>93</v>
      </c>
      <c r="B13" t="s">
        <v>77</v>
      </c>
      <c r="C13" t="s">
        <v>81</v>
      </c>
      <c r="D13">
        <v>114</v>
      </c>
      <c r="E13">
        <v>72</v>
      </c>
      <c r="F13">
        <v>63</v>
      </c>
      <c r="G13" s="1">
        <v>44941</v>
      </c>
      <c r="H13">
        <v>105</v>
      </c>
      <c r="I13">
        <f t="shared" si="0"/>
        <v>-9</v>
      </c>
      <c r="K13" s="4" t="s">
        <v>177</v>
      </c>
      <c r="L13">
        <v>3809</v>
      </c>
      <c r="AC13" s="4" t="s">
        <v>104</v>
      </c>
      <c r="AD13">
        <v>82</v>
      </c>
    </row>
    <row r="14" spans="1:30" x14ac:dyDescent="0.3">
      <c r="A14" t="s">
        <v>94</v>
      </c>
      <c r="B14" t="s">
        <v>80</v>
      </c>
      <c r="C14" t="s">
        <v>81</v>
      </c>
      <c r="D14">
        <v>122</v>
      </c>
      <c r="E14">
        <v>55</v>
      </c>
      <c r="F14">
        <v>68</v>
      </c>
      <c r="G14" s="1">
        <v>45041</v>
      </c>
      <c r="H14">
        <v>135</v>
      </c>
      <c r="I14">
        <f t="shared" si="0"/>
        <v>13</v>
      </c>
      <c r="AC14" s="4" t="s">
        <v>106</v>
      </c>
      <c r="AD14">
        <v>60</v>
      </c>
    </row>
    <row r="15" spans="1:30" ht="15.6" x14ac:dyDescent="0.3">
      <c r="A15" t="s">
        <v>95</v>
      </c>
      <c r="B15" t="s">
        <v>77</v>
      </c>
      <c r="C15" t="s">
        <v>81</v>
      </c>
      <c r="D15">
        <v>188</v>
      </c>
      <c r="E15">
        <v>32</v>
      </c>
      <c r="F15">
        <v>26</v>
      </c>
      <c r="G15" s="1">
        <v>45153</v>
      </c>
      <c r="H15">
        <v>182</v>
      </c>
      <c r="I15">
        <f t="shared" si="0"/>
        <v>-6</v>
      </c>
      <c r="K15" s="12" t="s">
        <v>267</v>
      </c>
      <c r="AC15" s="4" t="s">
        <v>109</v>
      </c>
      <c r="AD15">
        <v>48</v>
      </c>
    </row>
    <row r="16" spans="1:30" x14ac:dyDescent="0.3">
      <c r="A16" t="s">
        <v>96</v>
      </c>
      <c r="B16" t="s">
        <v>77</v>
      </c>
      <c r="C16" t="s">
        <v>78</v>
      </c>
      <c r="D16">
        <v>181</v>
      </c>
      <c r="E16">
        <v>66</v>
      </c>
      <c r="F16">
        <v>50</v>
      </c>
      <c r="G16" s="1">
        <v>45026</v>
      </c>
      <c r="H16">
        <v>165</v>
      </c>
      <c r="I16">
        <f t="shared" si="0"/>
        <v>-16</v>
      </c>
      <c r="K16" s="3" t="s">
        <v>237</v>
      </c>
      <c r="L16" t="s">
        <v>204</v>
      </c>
      <c r="M16" t="s">
        <v>205</v>
      </c>
      <c r="N16" t="s">
        <v>236</v>
      </c>
      <c r="AC16" s="4" t="s">
        <v>177</v>
      </c>
      <c r="AD16">
        <v>1423</v>
      </c>
    </row>
    <row r="17" spans="1:14" x14ac:dyDescent="0.3">
      <c r="A17" t="s">
        <v>97</v>
      </c>
      <c r="B17" t="s">
        <v>77</v>
      </c>
      <c r="C17" t="s">
        <v>84</v>
      </c>
      <c r="D17">
        <v>71</v>
      </c>
      <c r="E17">
        <v>36</v>
      </c>
      <c r="F17">
        <v>65</v>
      </c>
      <c r="G17" s="1">
        <v>45230</v>
      </c>
      <c r="H17">
        <v>100</v>
      </c>
      <c r="I17">
        <f t="shared" si="0"/>
        <v>29</v>
      </c>
      <c r="K17" s="4" t="s">
        <v>210</v>
      </c>
      <c r="L17">
        <v>102</v>
      </c>
      <c r="M17">
        <v>133</v>
      </c>
      <c r="N17">
        <v>-31</v>
      </c>
    </row>
    <row r="18" spans="1:14" x14ac:dyDescent="0.3">
      <c r="A18" t="s">
        <v>98</v>
      </c>
      <c r="B18" t="s">
        <v>77</v>
      </c>
      <c r="C18" t="s">
        <v>84</v>
      </c>
      <c r="D18">
        <v>106</v>
      </c>
      <c r="E18">
        <v>10</v>
      </c>
      <c r="F18">
        <v>25</v>
      </c>
      <c r="G18" s="1">
        <v>44978</v>
      </c>
      <c r="H18">
        <v>121</v>
      </c>
      <c r="I18">
        <f t="shared" si="0"/>
        <v>15</v>
      </c>
      <c r="K18" s="4" t="s">
        <v>211</v>
      </c>
      <c r="L18">
        <v>144</v>
      </c>
      <c r="M18">
        <v>92</v>
      </c>
      <c r="N18">
        <v>52</v>
      </c>
    </row>
    <row r="19" spans="1:14" x14ac:dyDescent="0.3">
      <c r="A19" t="s">
        <v>99</v>
      </c>
      <c r="B19" t="s">
        <v>77</v>
      </c>
      <c r="C19" t="s">
        <v>78</v>
      </c>
      <c r="D19">
        <v>129</v>
      </c>
      <c r="E19">
        <v>22</v>
      </c>
      <c r="F19">
        <v>70</v>
      </c>
      <c r="G19" s="1">
        <v>45003</v>
      </c>
      <c r="H19">
        <v>177</v>
      </c>
      <c r="I19">
        <f t="shared" si="0"/>
        <v>48</v>
      </c>
      <c r="K19" s="4" t="s">
        <v>212</v>
      </c>
      <c r="L19">
        <v>87</v>
      </c>
      <c r="M19">
        <v>43</v>
      </c>
      <c r="N19">
        <v>44</v>
      </c>
    </row>
    <row r="20" spans="1:14" x14ac:dyDescent="0.3">
      <c r="A20" t="s">
        <v>100</v>
      </c>
      <c r="B20" t="s">
        <v>77</v>
      </c>
      <c r="C20" t="s">
        <v>78</v>
      </c>
      <c r="D20">
        <v>170</v>
      </c>
      <c r="E20">
        <v>56</v>
      </c>
      <c r="F20">
        <v>21</v>
      </c>
      <c r="G20" s="1">
        <v>45004</v>
      </c>
      <c r="H20">
        <v>135</v>
      </c>
      <c r="I20">
        <f t="shared" si="0"/>
        <v>-35</v>
      </c>
      <c r="K20" s="4" t="s">
        <v>213</v>
      </c>
      <c r="L20">
        <v>25</v>
      </c>
      <c r="M20">
        <v>79</v>
      </c>
      <c r="N20">
        <v>-54</v>
      </c>
    </row>
    <row r="21" spans="1:14" x14ac:dyDescent="0.3">
      <c r="A21" t="s">
        <v>101</v>
      </c>
      <c r="B21" t="s">
        <v>77</v>
      </c>
      <c r="C21" t="s">
        <v>78</v>
      </c>
      <c r="D21">
        <v>128</v>
      </c>
      <c r="E21">
        <v>40</v>
      </c>
      <c r="F21">
        <v>28</v>
      </c>
      <c r="G21" s="1">
        <v>45166</v>
      </c>
      <c r="H21">
        <v>116</v>
      </c>
      <c r="I21">
        <f t="shared" si="0"/>
        <v>-12</v>
      </c>
      <c r="K21" s="4" t="s">
        <v>214</v>
      </c>
      <c r="L21">
        <v>57</v>
      </c>
      <c r="M21">
        <v>68</v>
      </c>
      <c r="N21">
        <v>-11</v>
      </c>
    </row>
    <row r="22" spans="1:14" x14ac:dyDescent="0.3">
      <c r="A22" t="s">
        <v>102</v>
      </c>
      <c r="B22" t="s">
        <v>86</v>
      </c>
      <c r="C22" t="s">
        <v>78</v>
      </c>
      <c r="D22">
        <v>56</v>
      </c>
      <c r="E22">
        <v>46</v>
      </c>
      <c r="F22">
        <v>66</v>
      </c>
      <c r="G22" s="1">
        <v>45052</v>
      </c>
      <c r="H22">
        <v>76</v>
      </c>
      <c r="I22">
        <f t="shared" si="0"/>
        <v>20</v>
      </c>
      <c r="K22" s="4" t="s">
        <v>215</v>
      </c>
      <c r="L22">
        <v>91</v>
      </c>
      <c r="M22">
        <v>78</v>
      </c>
      <c r="N22">
        <v>13</v>
      </c>
    </row>
    <row r="23" spans="1:14" x14ac:dyDescent="0.3">
      <c r="A23" t="s">
        <v>103</v>
      </c>
      <c r="B23" t="s">
        <v>86</v>
      </c>
      <c r="C23" t="s">
        <v>78</v>
      </c>
      <c r="D23">
        <v>136</v>
      </c>
      <c r="E23">
        <v>20</v>
      </c>
      <c r="F23">
        <v>59</v>
      </c>
      <c r="G23" s="1">
        <v>45247</v>
      </c>
      <c r="H23">
        <v>175</v>
      </c>
      <c r="I23">
        <f t="shared" si="0"/>
        <v>39</v>
      </c>
      <c r="K23" s="4" t="s">
        <v>216</v>
      </c>
      <c r="L23">
        <v>50</v>
      </c>
      <c r="M23">
        <v>66</v>
      </c>
      <c r="N23">
        <v>-16</v>
      </c>
    </row>
    <row r="24" spans="1:14" x14ac:dyDescent="0.3">
      <c r="A24" t="s">
        <v>104</v>
      </c>
      <c r="B24" t="s">
        <v>77</v>
      </c>
      <c r="C24" t="s">
        <v>81</v>
      </c>
      <c r="D24">
        <v>68</v>
      </c>
      <c r="E24">
        <v>56</v>
      </c>
      <c r="F24">
        <v>70</v>
      </c>
      <c r="G24" s="1">
        <v>45100</v>
      </c>
      <c r="H24">
        <v>82</v>
      </c>
      <c r="I24">
        <f t="shared" si="0"/>
        <v>14</v>
      </c>
      <c r="K24" s="4" t="s">
        <v>217</v>
      </c>
      <c r="L24">
        <v>68</v>
      </c>
      <c r="M24">
        <v>55</v>
      </c>
      <c r="N24">
        <v>13</v>
      </c>
    </row>
    <row r="25" spans="1:14" x14ac:dyDescent="0.3">
      <c r="A25" t="s">
        <v>105</v>
      </c>
      <c r="B25" t="s">
        <v>80</v>
      </c>
      <c r="C25" t="s">
        <v>84</v>
      </c>
      <c r="D25">
        <v>165</v>
      </c>
      <c r="E25">
        <v>68</v>
      </c>
      <c r="F25">
        <v>47</v>
      </c>
      <c r="G25" s="1">
        <v>45286</v>
      </c>
      <c r="H25">
        <v>144</v>
      </c>
      <c r="I25">
        <f t="shared" si="0"/>
        <v>-21</v>
      </c>
      <c r="K25" s="4" t="s">
        <v>218</v>
      </c>
      <c r="L25">
        <v>66</v>
      </c>
      <c r="M25">
        <v>46</v>
      </c>
      <c r="N25">
        <v>20</v>
      </c>
    </row>
    <row r="26" spans="1:14" x14ac:dyDescent="0.3">
      <c r="A26" t="s">
        <v>106</v>
      </c>
      <c r="B26" t="s">
        <v>86</v>
      </c>
      <c r="C26" t="s">
        <v>81</v>
      </c>
      <c r="D26">
        <v>71</v>
      </c>
      <c r="E26">
        <v>68</v>
      </c>
      <c r="F26">
        <v>57</v>
      </c>
      <c r="G26" s="1">
        <v>44987</v>
      </c>
      <c r="H26">
        <v>60</v>
      </c>
      <c r="I26">
        <f t="shared" si="0"/>
        <v>-11</v>
      </c>
      <c r="K26" s="4" t="s">
        <v>219</v>
      </c>
      <c r="L26">
        <v>49</v>
      </c>
      <c r="M26">
        <v>15</v>
      </c>
      <c r="N26">
        <v>34</v>
      </c>
    </row>
    <row r="27" spans="1:14" x14ac:dyDescent="0.3">
      <c r="A27" t="s">
        <v>107</v>
      </c>
      <c r="B27" t="s">
        <v>86</v>
      </c>
      <c r="C27" t="s">
        <v>84</v>
      </c>
      <c r="D27">
        <v>56</v>
      </c>
      <c r="E27">
        <v>70</v>
      </c>
      <c r="F27">
        <v>75</v>
      </c>
      <c r="G27" s="1">
        <v>45123</v>
      </c>
      <c r="H27">
        <v>61</v>
      </c>
      <c r="I27">
        <f t="shared" si="0"/>
        <v>5</v>
      </c>
      <c r="K27" s="4" t="s">
        <v>220</v>
      </c>
      <c r="L27">
        <v>70</v>
      </c>
      <c r="M27">
        <v>56</v>
      </c>
      <c r="N27">
        <v>14</v>
      </c>
    </row>
    <row r="28" spans="1:14" x14ac:dyDescent="0.3">
      <c r="A28" t="s">
        <v>108</v>
      </c>
      <c r="B28" t="s">
        <v>86</v>
      </c>
      <c r="C28" t="s">
        <v>84</v>
      </c>
      <c r="D28">
        <v>80</v>
      </c>
      <c r="E28">
        <v>61</v>
      </c>
      <c r="F28">
        <v>39</v>
      </c>
      <c r="G28" s="1">
        <v>44937</v>
      </c>
      <c r="H28">
        <v>58</v>
      </c>
      <c r="I28">
        <f t="shared" si="0"/>
        <v>-22</v>
      </c>
      <c r="K28" s="4" t="s">
        <v>221</v>
      </c>
      <c r="L28">
        <v>75</v>
      </c>
      <c r="M28">
        <v>70</v>
      </c>
      <c r="N28">
        <v>5</v>
      </c>
    </row>
    <row r="29" spans="1:14" x14ac:dyDescent="0.3">
      <c r="A29" t="s">
        <v>109</v>
      </c>
      <c r="B29" t="s">
        <v>80</v>
      </c>
      <c r="C29" t="s">
        <v>81</v>
      </c>
      <c r="D29">
        <v>70</v>
      </c>
      <c r="E29">
        <v>68</v>
      </c>
      <c r="F29">
        <v>46</v>
      </c>
      <c r="G29" s="1">
        <v>45261</v>
      </c>
      <c r="H29">
        <v>48</v>
      </c>
      <c r="I29">
        <f t="shared" si="0"/>
        <v>-22</v>
      </c>
      <c r="K29" s="4" t="s">
        <v>222</v>
      </c>
      <c r="L29">
        <v>70</v>
      </c>
      <c r="M29">
        <v>81</v>
      </c>
      <c r="N29">
        <v>-11</v>
      </c>
    </row>
    <row r="30" spans="1:14" x14ac:dyDescent="0.3">
      <c r="A30" t="s">
        <v>110</v>
      </c>
      <c r="B30" t="s">
        <v>77</v>
      </c>
      <c r="C30" t="s">
        <v>78</v>
      </c>
      <c r="D30">
        <v>143</v>
      </c>
      <c r="E30">
        <v>49</v>
      </c>
      <c r="F30">
        <v>44</v>
      </c>
      <c r="G30" s="1">
        <v>45147</v>
      </c>
      <c r="H30">
        <v>138</v>
      </c>
      <c r="I30">
        <f t="shared" si="0"/>
        <v>-5</v>
      </c>
      <c r="K30" s="4" t="s">
        <v>223</v>
      </c>
      <c r="L30">
        <v>84</v>
      </c>
      <c r="M30">
        <v>80</v>
      </c>
      <c r="N30">
        <v>4</v>
      </c>
    </row>
    <row r="31" spans="1:14" x14ac:dyDescent="0.3">
      <c r="A31" t="s">
        <v>111</v>
      </c>
      <c r="B31" t="s">
        <v>86</v>
      </c>
      <c r="C31" t="s">
        <v>84</v>
      </c>
      <c r="D31">
        <v>168</v>
      </c>
      <c r="E31">
        <v>29</v>
      </c>
      <c r="F31">
        <v>77</v>
      </c>
      <c r="G31" s="1">
        <v>44944</v>
      </c>
      <c r="H31">
        <v>216</v>
      </c>
      <c r="I31">
        <f t="shared" si="0"/>
        <v>48</v>
      </c>
      <c r="K31" s="4" t="s">
        <v>224</v>
      </c>
      <c r="L31">
        <v>28</v>
      </c>
      <c r="M31">
        <v>40</v>
      </c>
      <c r="N31">
        <v>-12</v>
      </c>
    </row>
    <row r="32" spans="1:14" x14ac:dyDescent="0.3">
      <c r="K32" s="4" t="s">
        <v>225</v>
      </c>
      <c r="L32">
        <v>72</v>
      </c>
      <c r="M32">
        <v>118</v>
      </c>
      <c r="N32">
        <v>-46</v>
      </c>
    </row>
    <row r="33" spans="11:14" x14ac:dyDescent="0.3">
      <c r="K33" s="4" t="s">
        <v>226</v>
      </c>
      <c r="L33">
        <v>81</v>
      </c>
      <c r="M33">
        <v>75</v>
      </c>
      <c r="N33">
        <v>6</v>
      </c>
    </row>
    <row r="34" spans="11:14" x14ac:dyDescent="0.3">
      <c r="K34" s="4" t="s">
        <v>227</v>
      </c>
      <c r="L34">
        <v>156</v>
      </c>
      <c r="M34">
        <v>82</v>
      </c>
      <c r="N34">
        <v>74</v>
      </c>
    </row>
    <row r="35" spans="11:14" x14ac:dyDescent="0.3">
      <c r="K35" s="4" t="s">
        <v>228</v>
      </c>
      <c r="L35">
        <v>59</v>
      </c>
      <c r="M35">
        <v>20</v>
      </c>
      <c r="N35">
        <v>39</v>
      </c>
    </row>
    <row r="36" spans="11:14" x14ac:dyDescent="0.3">
      <c r="K36" s="4" t="s">
        <v>229</v>
      </c>
      <c r="L36">
        <v>46</v>
      </c>
      <c r="M36">
        <v>68</v>
      </c>
      <c r="N36">
        <v>-22</v>
      </c>
    </row>
    <row r="37" spans="11:14" x14ac:dyDescent="0.3">
      <c r="K37" s="4" t="s">
        <v>230</v>
      </c>
      <c r="L37">
        <v>63</v>
      </c>
      <c r="M37">
        <v>67</v>
      </c>
      <c r="N37">
        <v>-4</v>
      </c>
    </row>
    <row r="38" spans="11:14" x14ac:dyDescent="0.3">
      <c r="K38" s="4" t="s">
        <v>231</v>
      </c>
      <c r="L38">
        <v>29</v>
      </c>
      <c r="M38">
        <v>44</v>
      </c>
      <c r="N38">
        <v>-15</v>
      </c>
    </row>
    <row r="39" spans="11:14" x14ac:dyDescent="0.3">
      <c r="K39" s="4" t="s">
        <v>232</v>
      </c>
      <c r="L39">
        <v>47</v>
      </c>
      <c r="M39">
        <v>68</v>
      </c>
      <c r="N39">
        <v>-21</v>
      </c>
    </row>
    <row r="40" spans="11:14" x14ac:dyDescent="0.3">
      <c r="K40" s="4" t="s">
        <v>177</v>
      </c>
      <c r="L40">
        <v>1619</v>
      </c>
      <c r="M40">
        <v>1544</v>
      </c>
      <c r="N40">
        <v>75</v>
      </c>
    </row>
  </sheetData>
  <mergeCells count="1">
    <mergeCell ref="Q1:AD1"/>
  </mergeCells>
  <conditionalFormatting sqref="H1:H31">
    <cfRule type="cellIs" dxfId="1" priority="2" operator="lessThan">
      <formula>20</formula>
    </cfRule>
  </conditionalFormatting>
  <conditionalFormatting sqref="AD4:AD16">
    <cfRule type="cellIs" dxfId="0" priority="1" operator="lessThan">
      <formula>100</formula>
    </cfRule>
  </conditionalFormatting>
  <pageMargins left="0.75" right="0.75" top="1" bottom="1" header="0.5" footer="0.5"/>
  <drawing r:id="rId5"/>
  <tableParts count="1">
    <tablePart r:id="rId6"/>
  </tableParts>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31"/>
  <sheetViews>
    <sheetView topLeftCell="M1" workbookViewId="0">
      <selection activeCell="X12" sqref="X12"/>
    </sheetView>
  </sheetViews>
  <sheetFormatPr defaultRowHeight="14.4" x14ac:dyDescent="0.3"/>
  <cols>
    <col min="1" max="1" width="13" customWidth="1"/>
    <col min="2" max="2" width="17.77734375" customWidth="1"/>
    <col min="3" max="3" width="17.109375" customWidth="1"/>
    <col min="5" max="5" width="18.109375" bestFit="1" customWidth="1"/>
    <col min="6" max="6" width="14.33203125" customWidth="1"/>
    <col min="9" max="9" width="13.33203125" bestFit="1" customWidth="1"/>
    <col min="10" max="10" width="22" bestFit="1" customWidth="1"/>
    <col min="11" max="12" width="20.21875" bestFit="1" customWidth="1"/>
    <col min="13" max="13" width="12.33203125" bestFit="1" customWidth="1"/>
    <col min="14" max="14" width="13.33203125" bestFit="1" customWidth="1"/>
    <col min="15" max="16" width="22" bestFit="1" customWidth="1"/>
    <col min="17" max="17" width="13.33203125" bestFit="1" customWidth="1"/>
    <col min="18" max="19" width="20.21875" bestFit="1" customWidth="1"/>
    <col min="20" max="20" width="8" bestFit="1" customWidth="1"/>
    <col min="21" max="21" width="14.44140625" bestFit="1" customWidth="1"/>
    <col min="22" max="22" width="20.21875" bestFit="1" customWidth="1"/>
    <col min="23" max="23" width="12.33203125" bestFit="1" customWidth="1"/>
    <col min="24" max="24" width="20.21875" bestFit="1" customWidth="1"/>
    <col min="25" max="25" width="6.109375" bestFit="1" customWidth="1"/>
    <col min="26" max="26" width="15" bestFit="1" customWidth="1"/>
    <col min="27" max="27" width="10.77734375" bestFit="1" customWidth="1"/>
    <col min="28" max="39" width="6" bestFit="1" customWidth="1"/>
    <col min="40" max="40" width="10.77734375" bestFit="1" customWidth="1"/>
    <col min="41" max="41" width="10.6640625" bestFit="1" customWidth="1"/>
    <col min="42" max="42" width="8" bestFit="1" customWidth="1"/>
    <col min="43" max="43" width="10.6640625" bestFit="1" customWidth="1"/>
    <col min="44" max="44" width="8" bestFit="1" customWidth="1"/>
    <col min="45" max="45" width="10.6640625" bestFit="1" customWidth="1"/>
    <col min="46" max="46" width="8" bestFit="1" customWidth="1"/>
    <col min="47" max="47" width="10.6640625" bestFit="1" customWidth="1"/>
    <col min="48" max="48" width="8" bestFit="1" customWidth="1"/>
    <col min="49" max="49" width="10.6640625" bestFit="1" customWidth="1"/>
    <col min="50" max="50" width="8" bestFit="1" customWidth="1"/>
    <col min="51" max="51" width="10.6640625" bestFit="1" customWidth="1"/>
    <col min="52" max="52" width="8" bestFit="1" customWidth="1"/>
    <col min="53" max="53" width="10.6640625" bestFit="1" customWidth="1"/>
    <col min="54" max="54" width="8" bestFit="1" customWidth="1"/>
    <col min="55" max="55" width="10.6640625" bestFit="1" customWidth="1"/>
    <col min="56" max="56" width="8" bestFit="1" customWidth="1"/>
    <col min="57" max="57" width="10.6640625" bestFit="1" customWidth="1"/>
    <col min="58" max="58" width="8" bestFit="1" customWidth="1"/>
    <col min="59" max="59" width="10.6640625" bestFit="1" customWidth="1"/>
    <col min="60" max="60" width="8" bestFit="1" customWidth="1"/>
    <col min="61" max="61" width="10.6640625" bestFit="1" customWidth="1"/>
    <col min="62" max="62" width="8" bestFit="1" customWidth="1"/>
    <col min="63" max="63" width="10.6640625" bestFit="1" customWidth="1"/>
    <col min="64" max="64" width="8" bestFit="1" customWidth="1"/>
    <col min="65" max="65" width="10.6640625" bestFit="1" customWidth="1"/>
    <col min="66" max="66" width="8" bestFit="1" customWidth="1"/>
    <col min="67" max="67" width="10.6640625" bestFit="1" customWidth="1"/>
    <col min="68" max="68" width="8" bestFit="1" customWidth="1"/>
    <col min="69" max="69" width="10.6640625" bestFit="1" customWidth="1"/>
    <col min="70" max="70" width="10.77734375" bestFit="1" customWidth="1"/>
  </cols>
  <sheetData>
    <row r="1" spans="1:25" ht="23.4" x14ac:dyDescent="0.3">
      <c r="A1" s="2" t="s">
        <v>23</v>
      </c>
      <c r="B1" s="2" t="s">
        <v>112</v>
      </c>
      <c r="C1" s="2" t="s">
        <v>113</v>
      </c>
      <c r="D1" s="2" t="s">
        <v>114</v>
      </c>
      <c r="E1" s="2" t="s">
        <v>0</v>
      </c>
      <c r="F1" s="2" t="s">
        <v>115</v>
      </c>
      <c r="Q1" s="20" t="s">
        <v>242</v>
      </c>
      <c r="R1" s="20"/>
      <c r="S1" s="20"/>
      <c r="T1" s="20"/>
      <c r="U1" s="20"/>
      <c r="V1" s="20"/>
      <c r="W1" s="20"/>
      <c r="X1" s="20"/>
      <c r="Y1" s="20"/>
    </row>
    <row r="2" spans="1:25" x14ac:dyDescent="0.3">
      <c r="A2" t="s">
        <v>35</v>
      </c>
      <c r="B2" t="s">
        <v>116</v>
      </c>
      <c r="C2">
        <v>3707</v>
      </c>
      <c r="D2">
        <v>5413</v>
      </c>
      <c r="E2" s="1">
        <v>45091</v>
      </c>
      <c r="F2" t="s">
        <v>117</v>
      </c>
      <c r="I2" s="8" t="s">
        <v>239</v>
      </c>
      <c r="J2" s="9"/>
      <c r="N2" s="8" t="s">
        <v>238</v>
      </c>
    </row>
    <row r="3" spans="1:25" ht="23.4" x14ac:dyDescent="0.45">
      <c r="A3" t="s">
        <v>118</v>
      </c>
      <c r="B3" t="s">
        <v>119</v>
      </c>
      <c r="C3">
        <v>8341</v>
      </c>
      <c r="D3">
        <v>10963</v>
      </c>
      <c r="E3" s="1">
        <v>45111</v>
      </c>
      <c r="F3" t="s">
        <v>120</v>
      </c>
      <c r="I3" s="3" t="s">
        <v>192</v>
      </c>
      <c r="J3" t="s">
        <v>233</v>
      </c>
      <c r="K3" t="s">
        <v>234</v>
      </c>
      <c r="N3" s="3" t="s">
        <v>23</v>
      </c>
      <c r="O3" t="s">
        <v>233</v>
      </c>
      <c r="W3" s="23" t="s">
        <v>246</v>
      </c>
      <c r="X3" s="22"/>
    </row>
    <row r="4" spans="1:25" x14ac:dyDescent="0.3">
      <c r="A4" t="s">
        <v>121</v>
      </c>
      <c r="B4" t="s">
        <v>122</v>
      </c>
      <c r="C4">
        <v>8733</v>
      </c>
      <c r="D4">
        <v>8992</v>
      </c>
      <c r="E4" s="1">
        <v>45125</v>
      </c>
      <c r="F4" t="s">
        <v>123</v>
      </c>
      <c r="I4" s="4" t="s">
        <v>118</v>
      </c>
      <c r="J4">
        <v>54260</v>
      </c>
      <c r="K4">
        <v>100201</v>
      </c>
      <c r="N4" s="4" t="s">
        <v>184</v>
      </c>
      <c r="O4">
        <v>6608</v>
      </c>
      <c r="W4" s="15" t="s">
        <v>243</v>
      </c>
      <c r="X4" s="16">
        <v>291137</v>
      </c>
    </row>
    <row r="5" spans="1:25" x14ac:dyDescent="0.3">
      <c r="A5" t="s">
        <v>121</v>
      </c>
      <c r="B5" t="s">
        <v>124</v>
      </c>
      <c r="C5">
        <v>1403</v>
      </c>
      <c r="D5">
        <v>7501</v>
      </c>
      <c r="E5" s="1">
        <v>45280</v>
      </c>
      <c r="F5" t="s">
        <v>117</v>
      </c>
      <c r="I5" s="4" t="s">
        <v>35</v>
      </c>
      <c r="J5">
        <v>48167</v>
      </c>
      <c r="K5">
        <v>86839</v>
      </c>
      <c r="N5" s="4" t="s">
        <v>185</v>
      </c>
      <c r="O5">
        <v>40058</v>
      </c>
      <c r="W5" s="15" t="s">
        <v>244</v>
      </c>
      <c r="X5" s="16">
        <v>154861</v>
      </c>
    </row>
    <row r="6" spans="1:25" x14ac:dyDescent="0.3">
      <c r="A6" t="s">
        <v>118</v>
      </c>
      <c r="B6" t="s">
        <v>124</v>
      </c>
      <c r="C6">
        <v>5713</v>
      </c>
      <c r="D6">
        <v>11398</v>
      </c>
      <c r="E6" s="1">
        <v>45022</v>
      </c>
      <c r="F6" t="s">
        <v>117</v>
      </c>
      <c r="I6" s="4" t="s">
        <v>126</v>
      </c>
      <c r="J6">
        <v>11562</v>
      </c>
      <c r="K6">
        <v>21818</v>
      </c>
      <c r="N6" s="4" t="s">
        <v>186</v>
      </c>
      <c r="O6">
        <v>21858</v>
      </c>
      <c r="W6" s="17" t="s">
        <v>245</v>
      </c>
      <c r="X6" s="18">
        <f xml:space="preserve"> (X4 / X5) - 1</f>
        <v>0.87998915156172308</v>
      </c>
    </row>
    <row r="7" spans="1:25" x14ac:dyDescent="0.3">
      <c r="A7" t="s">
        <v>121</v>
      </c>
      <c r="B7" t="s">
        <v>116</v>
      </c>
      <c r="C7">
        <v>9223</v>
      </c>
      <c r="D7">
        <v>13529</v>
      </c>
      <c r="E7" s="1">
        <v>45034</v>
      </c>
      <c r="F7" t="s">
        <v>125</v>
      </c>
      <c r="I7" s="4" t="s">
        <v>121</v>
      </c>
      <c r="J7">
        <v>40872</v>
      </c>
      <c r="K7">
        <v>82279</v>
      </c>
      <c r="N7" s="4" t="s">
        <v>187</v>
      </c>
      <c r="O7">
        <v>23100</v>
      </c>
    </row>
    <row r="8" spans="1:25" x14ac:dyDescent="0.3">
      <c r="A8" t="s">
        <v>118</v>
      </c>
      <c r="B8" t="s">
        <v>119</v>
      </c>
      <c r="C8">
        <v>2901</v>
      </c>
      <c r="D8">
        <v>12206</v>
      </c>
      <c r="E8" s="1">
        <v>45105</v>
      </c>
      <c r="F8" t="s">
        <v>120</v>
      </c>
      <c r="I8" s="4" t="s">
        <v>177</v>
      </c>
      <c r="J8">
        <v>154861</v>
      </c>
      <c r="K8">
        <v>291137</v>
      </c>
      <c r="N8" s="4" t="s">
        <v>188</v>
      </c>
      <c r="O8">
        <v>7045</v>
      </c>
    </row>
    <row r="9" spans="1:25" x14ac:dyDescent="0.3">
      <c r="A9" t="s">
        <v>118</v>
      </c>
      <c r="B9" t="s">
        <v>122</v>
      </c>
      <c r="C9">
        <v>2121</v>
      </c>
      <c r="D9">
        <v>11558</v>
      </c>
      <c r="E9" s="1">
        <v>45260</v>
      </c>
      <c r="F9" t="s">
        <v>120</v>
      </c>
      <c r="N9" s="4" t="s">
        <v>189</v>
      </c>
      <c r="O9">
        <v>12382</v>
      </c>
      <c r="W9" s="3" t="s">
        <v>23</v>
      </c>
      <c r="X9" t="s">
        <v>235</v>
      </c>
    </row>
    <row r="10" spans="1:25" x14ac:dyDescent="0.3">
      <c r="A10" t="s">
        <v>35</v>
      </c>
      <c r="B10" t="s">
        <v>122</v>
      </c>
      <c r="C10">
        <v>4478</v>
      </c>
      <c r="D10">
        <v>12258</v>
      </c>
      <c r="E10" s="1">
        <v>45176</v>
      </c>
      <c r="F10" t="s">
        <v>125</v>
      </c>
      <c r="I10" s="8" t="s">
        <v>240</v>
      </c>
      <c r="J10" s="9"/>
      <c r="N10" s="4" t="s">
        <v>190</v>
      </c>
      <c r="O10">
        <v>10423</v>
      </c>
      <c r="W10" s="4" t="s">
        <v>118</v>
      </c>
      <c r="X10" s="6">
        <v>0.54151156176086068</v>
      </c>
    </row>
    <row r="11" spans="1:25" x14ac:dyDescent="0.3">
      <c r="A11" t="s">
        <v>35</v>
      </c>
      <c r="B11" t="s">
        <v>119</v>
      </c>
      <c r="C11">
        <v>3137</v>
      </c>
      <c r="D11">
        <v>10509</v>
      </c>
      <c r="E11" s="1">
        <v>44941</v>
      </c>
      <c r="F11" t="s">
        <v>125</v>
      </c>
      <c r="I11" s="3" t="s">
        <v>23</v>
      </c>
      <c r="J11" t="s">
        <v>234</v>
      </c>
      <c r="K11" t="s">
        <v>233</v>
      </c>
      <c r="L11" t="s">
        <v>235</v>
      </c>
      <c r="N11" s="4" t="s">
        <v>177</v>
      </c>
      <c r="O11">
        <v>121474</v>
      </c>
      <c r="W11" s="4" t="s">
        <v>35</v>
      </c>
      <c r="X11" s="6">
        <v>0.55467013668973619</v>
      </c>
    </row>
    <row r="12" spans="1:25" x14ac:dyDescent="0.3">
      <c r="A12" t="s">
        <v>121</v>
      </c>
      <c r="B12" t="s">
        <v>124</v>
      </c>
      <c r="C12">
        <v>3272</v>
      </c>
      <c r="D12">
        <v>11154</v>
      </c>
      <c r="E12" s="1">
        <v>45191</v>
      </c>
      <c r="F12" t="s">
        <v>120</v>
      </c>
      <c r="I12" s="4" t="s">
        <v>118</v>
      </c>
      <c r="J12">
        <v>100201</v>
      </c>
      <c r="K12">
        <v>54260</v>
      </c>
      <c r="L12" s="6">
        <v>0.54151156176086068</v>
      </c>
      <c r="W12" s="4" t="s">
        <v>126</v>
      </c>
      <c r="X12" s="6">
        <v>0.52992941607846733</v>
      </c>
    </row>
    <row r="13" spans="1:25" x14ac:dyDescent="0.3">
      <c r="A13" t="s">
        <v>35</v>
      </c>
      <c r="B13" t="s">
        <v>124</v>
      </c>
      <c r="C13">
        <v>7552</v>
      </c>
      <c r="D13">
        <v>5819</v>
      </c>
      <c r="E13" s="1">
        <v>45140</v>
      </c>
      <c r="F13" t="s">
        <v>123</v>
      </c>
      <c r="I13" s="4" t="s">
        <v>35</v>
      </c>
      <c r="J13">
        <v>86839</v>
      </c>
      <c r="K13">
        <v>48167</v>
      </c>
      <c r="L13" s="6">
        <v>0.55467013668973619</v>
      </c>
      <c r="W13" s="4" t="s">
        <v>121</v>
      </c>
      <c r="X13" s="6">
        <v>0.49674886666099488</v>
      </c>
    </row>
    <row r="14" spans="1:25" x14ac:dyDescent="0.3">
      <c r="A14" t="s">
        <v>118</v>
      </c>
      <c r="B14" t="s">
        <v>119</v>
      </c>
      <c r="C14">
        <v>1399</v>
      </c>
      <c r="D14">
        <v>5098</v>
      </c>
      <c r="E14" s="1">
        <v>44980</v>
      </c>
      <c r="F14" t="s">
        <v>125</v>
      </c>
      <c r="I14" s="4" t="s">
        <v>126</v>
      </c>
      <c r="J14">
        <v>21818</v>
      </c>
      <c r="K14">
        <v>11562</v>
      </c>
      <c r="L14" s="6">
        <v>0.52992941607846733</v>
      </c>
      <c r="W14" s="4" t="s">
        <v>177</v>
      </c>
      <c r="X14" s="6">
        <v>0.53191796302084582</v>
      </c>
    </row>
    <row r="15" spans="1:25" x14ac:dyDescent="0.3">
      <c r="A15" t="s">
        <v>35</v>
      </c>
      <c r="B15" t="s">
        <v>122</v>
      </c>
      <c r="C15">
        <v>9009</v>
      </c>
      <c r="D15">
        <v>8963</v>
      </c>
      <c r="E15" s="1">
        <v>45152</v>
      </c>
      <c r="F15" t="s">
        <v>120</v>
      </c>
      <c r="I15" s="4" t="s">
        <v>121</v>
      </c>
      <c r="J15">
        <v>82279</v>
      </c>
      <c r="K15">
        <v>40872</v>
      </c>
      <c r="L15" s="6">
        <v>0.49674886666099488</v>
      </c>
    </row>
    <row r="16" spans="1:25" x14ac:dyDescent="0.3">
      <c r="A16" t="s">
        <v>35</v>
      </c>
      <c r="B16" t="s">
        <v>116</v>
      </c>
      <c r="C16">
        <v>8645</v>
      </c>
      <c r="D16">
        <v>8210</v>
      </c>
      <c r="E16" s="1">
        <v>45183</v>
      </c>
      <c r="F16" t="s">
        <v>117</v>
      </c>
      <c r="I16" s="4" t="s">
        <v>177</v>
      </c>
      <c r="J16">
        <v>291137</v>
      </c>
      <c r="K16">
        <v>154861</v>
      </c>
      <c r="L16" s="6">
        <v>0.53191796302084582</v>
      </c>
    </row>
    <row r="17" spans="1:14" x14ac:dyDescent="0.3">
      <c r="A17" t="s">
        <v>126</v>
      </c>
      <c r="B17" t="s">
        <v>124</v>
      </c>
      <c r="C17">
        <v>2694</v>
      </c>
      <c r="D17">
        <v>7831</v>
      </c>
      <c r="E17" s="1">
        <v>45233</v>
      </c>
      <c r="F17" t="s">
        <v>123</v>
      </c>
    </row>
    <row r="18" spans="1:14" x14ac:dyDescent="0.3">
      <c r="A18" t="s">
        <v>118</v>
      </c>
      <c r="B18" t="s">
        <v>124</v>
      </c>
      <c r="C18">
        <v>3568</v>
      </c>
      <c r="D18">
        <v>6065</v>
      </c>
      <c r="E18" s="1">
        <v>45128</v>
      </c>
      <c r="F18" t="s">
        <v>117</v>
      </c>
    </row>
    <row r="19" spans="1:14" ht="23.4" x14ac:dyDescent="0.45">
      <c r="A19" t="s">
        <v>121</v>
      </c>
      <c r="B19" t="s">
        <v>119</v>
      </c>
      <c r="C19">
        <v>7045</v>
      </c>
      <c r="D19">
        <v>14543</v>
      </c>
      <c r="E19" s="1">
        <v>45210</v>
      </c>
      <c r="F19" t="s">
        <v>123</v>
      </c>
      <c r="I19" s="8" t="s">
        <v>241</v>
      </c>
      <c r="J19" s="9"/>
      <c r="N19" s="10"/>
    </row>
    <row r="20" spans="1:14" x14ac:dyDescent="0.3">
      <c r="A20" t="s">
        <v>35</v>
      </c>
      <c r="B20" t="s">
        <v>116</v>
      </c>
      <c r="C20">
        <v>3754</v>
      </c>
      <c r="D20">
        <v>13533</v>
      </c>
      <c r="E20" s="1">
        <v>45041</v>
      </c>
      <c r="F20" t="s">
        <v>125</v>
      </c>
      <c r="I20" s="3" t="s">
        <v>23</v>
      </c>
      <c r="J20" t="s">
        <v>233</v>
      </c>
    </row>
    <row r="21" spans="1:14" x14ac:dyDescent="0.3">
      <c r="A21" t="s">
        <v>118</v>
      </c>
      <c r="B21" t="s">
        <v>119</v>
      </c>
      <c r="C21">
        <v>6762</v>
      </c>
      <c r="D21">
        <v>5074</v>
      </c>
      <c r="E21" s="1">
        <v>45130</v>
      </c>
      <c r="F21" t="s">
        <v>125</v>
      </c>
      <c r="I21" s="4" t="s">
        <v>120</v>
      </c>
      <c r="J21">
        <v>44382</v>
      </c>
    </row>
    <row r="22" spans="1:14" x14ac:dyDescent="0.3">
      <c r="A22" t="s">
        <v>118</v>
      </c>
      <c r="B22" t="s">
        <v>119</v>
      </c>
      <c r="C22">
        <v>5297</v>
      </c>
      <c r="D22">
        <v>10525</v>
      </c>
      <c r="E22" s="1">
        <v>45158</v>
      </c>
      <c r="F22" t="s">
        <v>117</v>
      </c>
      <c r="I22" s="4" t="s">
        <v>125</v>
      </c>
      <c r="J22">
        <v>41850</v>
      </c>
    </row>
    <row r="23" spans="1:14" x14ac:dyDescent="0.3">
      <c r="A23" t="s">
        <v>126</v>
      </c>
      <c r="B23" t="s">
        <v>124</v>
      </c>
      <c r="C23">
        <v>3504</v>
      </c>
      <c r="D23">
        <v>5695</v>
      </c>
      <c r="E23" s="1">
        <v>45066</v>
      </c>
      <c r="F23" t="s">
        <v>125</v>
      </c>
      <c r="I23" s="4" t="s">
        <v>117</v>
      </c>
      <c r="J23">
        <v>42605</v>
      </c>
    </row>
    <row r="24" spans="1:14" x14ac:dyDescent="0.3">
      <c r="A24" t="s">
        <v>118</v>
      </c>
      <c r="B24" t="s">
        <v>122</v>
      </c>
      <c r="C24">
        <v>6705</v>
      </c>
      <c r="D24">
        <v>8911</v>
      </c>
      <c r="E24" s="1">
        <v>45177</v>
      </c>
      <c r="F24" t="s">
        <v>117</v>
      </c>
      <c r="I24" s="4" t="s">
        <v>123</v>
      </c>
      <c r="J24">
        <v>26024</v>
      </c>
    </row>
    <row r="25" spans="1:14" x14ac:dyDescent="0.3">
      <c r="A25" t="s">
        <v>126</v>
      </c>
      <c r="B25" t="s">
        <v>122</v>
      </c>
      <c r="C25">
        <v>5364</v>
      </c>
      <c r="D25">
        <v>8292</v>
      </c>
      <c r="E25" s="1">
        <v>45280</v>
      </c>
      <c r="F25" t="s">
        <v>125</v>
      </c>
      <c r="I25" s="4" t="s">
        <v>177</v>
      </c>
      <c r="J25">
        <v>154861</v>
      </c>
    </row>
    <row r="26" spans="1:14" x14ac:dyDescent="0.3">
      <c r="A26" t="s">
        <v>121</v>
      </c>
      <c r="B26" t="s">
        <v>119</v>
      </c>
      <c r="C26">
        <v>2771</v>
      </c>
      <c r="D26">
        <v>14172</v>
      </c>
      <c r="E26" s="1">
        <v>45003</v>
      </c>
      <c r="F26" t="s">
        <v>120</v>
      </c>
    </row>
    <row r="27" spans="1:14" x14ac:dyDescent="0.3">
      <c r="A27" t="s">
        <v>118</v>
      </c>
      <c r="B27" t="s">
        <v>122</v>
      </c>
      <c r="C27">
        <v>3886</v>
      </c>
      <c r="D27">
        <v>5220</v>
      </c>
      <c r="E27" s="1">
        <v>45063</v>
      </c>
      <c r="F27" t="s">
        <v>120</v>
      </c>
    </row>
    <row r="28" spans="1:14" x14ac:dyDescent="0.3">
      <c r="A28" t="s">
        <v>118</v>
      </c>
      <c r="B28" t="s">
        <v>119</v>
      </c>
      <c r="C28">
        <v>7567</v>
      </c>
      <c r="D28">
        <v>13183</v>
      </c>
      <c r="E28" s="1">
        <v>45259</v>
      </c>
      <c r="F28" t="s">
        <v>117</v>
      </c>
    </row>
    <row r="29" spans="1:14" x14ac:dyDescent="0.3">
      <c r="A29" t="s">
        <v>35</v>
      </c>
      <c r="B29" t="s">
        <v>119</v>
      </c>
      <c r="C29">
        <v>4229</v>
      </c>
      <c r="D29">
        <v>7593</v>
      </c>
      <c r="E29" s="1">
        <v>45118</v>
      </c>
      <c r="F29" t="s">
        <v>125</v>
      </c>
    </row>
    <row r="30" spans="1:14" x14ac:dyDescent="0.3">
      <c r="A30" t="s">
        <v>35</v>
      </c>
      <c r="B30" t="s">
        <v>122</v>
      </c>
      <c r="C30">
        <v>3656</v>
      </c>
      <c r="D30">
        <v>14541</v>
      </c>
      <c r="E30" s="1">
        <v>45277</v>
      </c>
      <c r="F30" t="s">
        <v>120</v>
      </c>
    </row>
    <row r="31" spans="1:14" x14ac:dyDescent="0.3">
      <c r="A31" t="s">
        <v>121</v>
      </c>
      <c r="B31" t="s">
        <v>119</v>
      </c>
      <c r="C31">
        <v>8425</v>
      </c>
      <c r="D31">
        <v>12388</v>
      </c>
      <c r="E31" s="1">
        <v>45120</v>
      </c>
      <c r="F31" t="s">
        <v>120</v>
      </c>
    </row>
  </sheetData>
  <mergeCells count="2">
    <mergeCell ref="Q1:Y1"/>
    <mergeCell ref="W3:X3"/>
  </mergeCells>
  <conditionalFormatting sqref="L11:L16">
    <cfRule type="colorScale" priority="7">
      <colorScale>
        <cfvo type="percent" val="45"/>
        <cfvo type="percent" val="50"/>
        <cfvo type="percent" val="70"/>
        <color rgb="FFF8696B"/>
        <color rgb="FFFFEB84"/>
        <color rgb="FF63BE7B"/>
      </colorScale>
    </cfRule>
    <cfRule type="colorScale" priority="9">
      <colorScale>
        <cfvo type="min"/>
        <cfvo type="percentile" val="50"/>
        <cfvo type="max"/>
        <color rgb="FFF8696B"/>
        <color rgb="FFFFEB84"/>
        <color rgb="FF63BE7B"/>
      </colorScale>
    </cfRule>
    <cfRule type="colorScale" priority="10">
      <colorScale>
        <cfvo type="min"/>
        <cfvo type="percentile" val="50"/>
        <cfvo type="max"/>
        <color rgb="FF5A8AC6"/>
        <color rgb="FFFCFCFF"/>
        <color rgb="FFF8696B"/>
      </colorScale>
    </cfRule>
  </conditionalFormatting>
  <conditionalFormatting sqref="T20:T25">
    <cfRule type="colorScale" priority="4">
      <colorScale>
        <cfvo type="percent" val="45"/>
        <cfvo type="percent" val="50"/>
        <cfvo type="percent" val="70"/>
        <color rgb="FFF8696B"/>
        <color rgb="FFFFEB84"/>
        <color rgb="FF63BE7B"/>
      </colorScale>
    </cfRule>
    <cfRule type="colorScale" priority="5">
      <colorScale>
        <cfvo type="min"/>
        <cfvo type="percentile" val="50"/>
        <cfvo type="max"/>
        <color rgb="FFF8696B"/>
        <color rgb="FFFFEB84"/>
        <color rgb="FF63BE7B"/>
      </colorScale>
    </cfRule>
    <cfRule type="colorScale" priority="6">
      <colorScale>
        <cfvo type="min"/>
        <cfvo type="percentile" val="50"/>
        <cfvo type="max"/>
        <color rgb="FF5A8AC6"/>
        <color rgb="FFFCFCFF"/>
        <color rgb="FFF8696B"/>
      </colorScale>
    </cfRule>
  </conditionalFormatting>
  <conditionalFormatting pivot="1" sqref="X10:X13">
    <cfRule type="colorScale" priority="3">
      <colorScale>
        <cfvo type="percent" val="45"/>
        <cfvo type="percent" val="50"/>
        <cfvo type="percent" val="100"/>
        <color rgb="FFF8696B"/>
        <color rgb="FFFFEB84"/>
        <color rgb="FF63BE7B"/>
      </colorScale>
    </cfRule>
  </conditionalFormatting>
  <conditionalFormatting pivot="1" sqref="X10:X13">
    <cfRule type="colorScale" priority="2">
      <colorScale>
        <cfvo type="min"/>
        <cfvo type="percentile" val="50"/>
        <cfvo type="max"/>
        <color rgb="FFF8696B"/>
        <color rgb="FFFFEB84"/>
        <color rgb="FF63BE7B"/>
      </colorScale>
    </cfRule>
  </conditionalFormatting>
  <conditionalFormatting pivot="1" sqref="X10:X13">
    <cfRule type="colorScale" priority="1">
      <colorScale>
        <cfvo type="percent" val="45"/>
        <cfvo type="percent" val="50"/>
        <cfvo type="percent" val="100"/>
        <color rgb="FFF8696B"/>
        <color rgb="FFFFEB84"/>
        <color rgb="FF63BE7B"/>
      </colorScale>
    </cfRule>
  </conditionalFormatting>
  <pageMargins left="0.75" right="0.75" top="1" bottom="1" header="0.5" footer="0.5"/>
  <drawing r:id="rId6"/>
  <tableParts count="1">
    <tablePart r:id="rId7"/>
  </tableParts>
  <extLst>
    <ext xmlns:x15="http://schemas.microsoft.com/office/spreadsheetml/2010/11/main" uri="{7E03D99C-DC04-49d9-9315-930204A7B6E9}">
      <x15:timelineRefs>
        <x15:timelineRef r:id="rId8"/>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35"/>
  <sheetViews>
    <sheetView tabSelected="1" topLeftCell="Q1" workbookViewId="0">
      <selection activeCell="AD22" sqref="AD22"/>
    </sheetView>
  </sheetViews>
  <sheetFormatPr defaultRowHeight="14.4" x14ac:dyDescent="0.3"/>
  <cols>
    <col min="1" max="1" width="12.44140625" bestFit="1" customWidth="1"/>
    <col min="2" max="2" width="19.109375" bestFit="1" customWidth="1"/>
    <col min="3" max="3" width="12" customWidth="1"/>
    <col min="4" max="4" width="14" customWidth="1"/>
    <col min="5" max="5" width="12.109375" bestFit="1" customWidth="1"/>
    <col min="6" max="6" width="15.44140625" bestFit="1" customWidth="1"/>
    <col min="7" max="7" width="18" bestFit="1" customWidth="1"/>
    <col min="8" max="8" width="23.21875" customWidth="1"/>
    <col min="11" max="11" width="11.109375" bestFit="1" customWidth="1"/>
    <col min="12" max="12" width="28.21875" bestFit="1" customWidth="1"/>
    <col min="13" max="13" width="15.88671875" bestFit="1" customWidth="1"/>
    <col min="14" max="14" width="17.6640625" bestFit="1" customWidth="1"/>
    <col min="15" max="15" width="28.21875" bestFit="1" customWidth="1"/>
    <col min="16" max="17" width="15.88671875" bestFit="1" customWidth="1"/>
    <col min="20" max="20" width="11.109375" bestFit="1" customWidth="1"/>
    <col min="21" max="21" width="28.21875" bestFit="1" customWidth="1"/>
  </cols>
  <sheetData>
    <row r="1" spans="1:33" ht="23.4" x14ac:dyDescent="0.3">
      <c r="A1" s="11" t="s">
        <v>127</v>
      </c>
      <c r="B1" s="2" t="s">
        <v>128</v>
      </c>
      <c r="C1" s="2" t="s">
        <v>129</v>
      </c>
      <c r="D1" s="2" t="s">
        <v>130</v>
      </c>
      <c r="E1" s="2" t="s">
        <v>3</v>
      </c>
      <c r="F1" s="2" t="s">
        <v>131</v>
      </c>
      <c r="G1" s="2" t="s">
        <v>132</v>
      </c>
      <c r="H1" s="2" t="s">
        <v>133</v>
      </c>
      <c r="S1" s="20" t="s">
        <v>242</v>
      </c>
      <c r="T1" s="20"/>
      <c r="U1" s="20"/>
      <c r="V1" s="20"/>
      <c r="W1" s="20"/>
      <c r="X1" s="20"/>
      <c r="Y1" s="20"/>
      <c r="Z1" s="20"/>
      <c r="AA1" s="20"/>
      <c r="AB1" s="20"/>
      <c r="AC1" s="20"/>
      <c r="AD1" s="20"/>
      <c r="AE1" s="20"/>
      <c r="AF1" s="20"/>
      <c r="AG1" s="20"/>
    </row>
    <row r="2" spans="1:33" x14ac:dyDescent="0.3">
      <c r="A2" t="s">
        <v>134</v>
      </c>
      <c r="B2" t="s">
        <v>135</v>
      </c>
      <c r="C2" s="1">
        <v>45049</v>
      </c>
      <c r="D2" s="1">
        <v>45056</v>
      </c>
      <c r="E2" t="s">
        <v>136</v>
      </c>
      <c r="F2">
        <v>6604</v>
      </c>
      <c r="G2" t="s">
        <v>137</v>
      </c>
      <c r="H2">
        <v>7</v>
      </c>
    </row>
    <row r="3" spans="1:33" ht="18" x14ac:dyDescent="0.35">
      <c r="A3" t="s">
        <v>138</v>
      </c>
      <c r="B3" t="s">
        <v>135</v>
      </c>
      <c r="C3" s="1">
        <v>45065</v>
      </c>
      <c r="D3" s="1">
        <v>45066</v>
      </c>
      <c r="E3" t="s">
        <v>139</v>
      </c>
      <c r="F3">
        <v>32671</v>
      </c>
      <c r="G3" t="s">
        <v>137</v>
      </c>
      <c r="H3">
        <v>1</v>
      </c>
      <c r="K3" s="13" t="s">
        <v>248</v>
      </c>
      <c r="L3" s="13"/>
      <c r="M3" s="9"/>
      <c r="N3" s="9"/>
    </row>
    <row r="4" spans="1:33" x14ac:dyDescent="0.3">
      <c r="A4" t="s">
        <v>140</v>
      </c>
      <c r="B4" t="s">
        <v>141</v>
      </c>
      <c r="C4" s="1">
        <v>44977</v>
      </c>
      <c r="D4" s="1">
        <v>44983</v>
      </c>
      <c r="E4" t="s">
        <v>139</v>
      </c>
      <c r="F4">
        <v>38799</v>
      </c>
      <c r="G4" t="s">
        <v>137</v>
      </c>
      <c r="H4">
        <v>6</v>
      </c>
      <c r="K4" s="3" t="s">
        <v>247</v>
      </c>
      <c r="L4" s="3" t="s">
        <v>176</v>
      </c>
    </row>
    <row r="5" spans="1:33" x14ac:dyDescent="0.3">
      <c r="A5" t="s">
        <v>142</v>
      </c>
      <c r="B5" t="s">
        <v>143</v>
      </c>
      <c r="C5" s="1">
        <v>45200</v>
      </c>
      <c r="D5" s="1">
        <v>45203</v>
      </c>
      <c r="E5" t="s">
        <v>144</v>
      </c>
      <c r="F5">
        <v>40016</v>
      </c>
      <c r="G5" t="s">
        <v>137</v>
      </c>
      <c r="H5">
        <v>3</v>
      </c>
      <c r="K5" s="3" t="s">
        <v>128</v>
      </c>
      <c r="L5" t="s">
        <v>146</v>
      </c>
      <c r="M5" t="s">
        <v>137</v>
      </c>
      <c r="N5" t="s">
        <v>177</v>
      </c>
    </row>
    <row r="6" spans="1:33" x14ac:dyDescent="0.3">
      <c r="A6" t="s">
        <v>145</v>
      </c>
      <c r="B6" t="s">
        <v>143</v>
      </c>
      <c r="C6" s="1">
        <v>45223</v>
      </c>
      <c r="D6" s="1">
        <v>45233</v>
      </c>
      <c r="E6" t="s">
        <v>139</v>
      </c>
      <c r="F6">
        <v>15591</v>
      </c>
      <c r="G6" t="s">
        <v>146</v>
      </c>
      <c r="H6">
        <v>10</v>
      </c>
      <c r="K6" s="4" t="s">
        <v>135</v>
      </c>
      <c r="M6">
        <v>5</v>
      </c>
      <c r="N6">
        <v>5</v>
      </c>
    </row>
    <row r="7" spans="1:33" x14ac:dyDescent="0.3">
      <c r="A7" t="s">
        <v>147</v>
      </c>
      <c r="B7" t="s">
        <v>148</v>
      </c>
      <c r="C7" s="1">
        <v>45238</v>
      </c>
      <c r="D7" s="1">
        <v>45243</v>
      </c>
      <c r="E7" t="s">
        <v>149</v>
      </c>
      <c r="F7">
        <v>6929</v>
      </c>
      <c r="G7" t="s">
        <v>146</v>
      </c>
      <c r="H7">
        <v>5</v>
      </c>
      <c r="K7" s="4" t="s">
        <v>159</v>
      </c>
      <c r="L7">
        <v>3</v>
      </c>
      <c r="M7">
        <v>2</v>
      </c>
      <c r="N7">
        <v>5</v>
      </c>
    </row>
    <row r="8" spans="1:33" x14ac:dyDescent="0.3">
      <c r="A8" t="s">
        <v>150</v>
      </c>
      <c r="B8" t="s">
        <v>141</v>
      </c>
      <c r="C8" s="1">
        <v>45111</v>
      </c>
      <c r="D8" s="1">
        <v>45120</v>
      </c>
      <c r="E8" t="s">
        <v>139</v>
      </c>
      <c r="F8">
        <v>32236</v>
      </c>
      <c r="G8" t="s">
        <v>137</v>
      </c>
      <c r="H8">
        <v>9</v>
      </c>
      <c r="K8" s="4" t="s">
        <v>143</v>
      </c>
      <c r="L8">
        <v>6</v>
      </c>
      <c r="M8">
        <v>3</v>
      </c>
      <c r="N8">
        <v>9</v>
      </c>
    </row>
    <row r="9" spans="1:33" x14ac:dyDescent="0.3">
      <c r="A9" t="s">
        <v>151</v>
      </c>
      <c r="B9" t="s">
        <v>141</v>
      </c>
      <c r="C9" s="1">
        <v>45143</v>
      </c>
      <c r="D9" s="1">
        <v>45153</v>
      </c>
      <c r="E9" t="s">
        <v>136</v>
      </c>
      <c r="F9">
        <v>7082</v>
      </c>
      <c r="G9" t="s">
        <v>137</v>
      </c>
      <c r="H9">
        <v>10</v>
      </c>
      <c r="K9" s="4" t="s">
        <v>148</v>
      </c>
      <c r="L9">
        <v>1</v>
      </c>
      <c r="M9">
        <v>3</v>
      </c>
      <c r="N9">
        <v>4</v>
      </c>
    </row>
    <row r="10" spans="1:33" x14ac:dyDescent="0.3">
      <c r="A10" t="s">
        <v>152</v>
      </c>
      <c r="B10" t="s">
        <v>148</v>
      </c>
      <c r="C10" s="1">
        <v>45125</v>
      </c>
      <c r="D10" s="1">
        <v>45132</v>
      </c>
      <c r="E10" t="s">
        <v>136</v>
      </c>
      <c r="F10">
        <v>40232</v>
      </c>
      <c r="G10" t="s">
        <v>137</v>
      </c>
      <c r="H10">
        <v>7</v>
      </c>
      <c r="K10" s="4" t="s">
        <v>141</v>
      </c>
      <c r="L10">
        <v>3</v>
      </c>
      <c r="M10">
        <v>4</v>
      </c>
      <c r="N10">
        <v>7</v>
      </c>
    </row>
    <row r="11" spans="1:33" x14ac:dyDescent="0.3">
      <c r="A11" t="s">
        <v>153</v>
      </c>
      <c r="B11" t="s">
        <v>135</v>
      </c>
      <c r="C11" s="1">
        <v>45199</v>
      </c>
      <c r="D11" s="1">
        <v>45206</v>
      </c>
      <c r="E11" t="s">
        <v>144</v>
      </c>
      <c r="F11">
        <v>34502</v>
      </c>
      <c r="G11" t="s">
        <v>137</v>
      </c>
      <c r="H11">
        <v>7</v>
      </c>
      <c r="K11" s="4" t="s">
        <v>177</v>
      </c>
      <c r="L11">
        <v>13</v>
      </c>
      <c r="M11">
        <v>17</v>
      </c>
      <c r="N11">
        <v>30</v>
      </c>
    </row>
    <row r="12" spans="1:33" x14ac:dyDescent="0.3">
      <c r="A12" t="s">
        <v>154</v>
      </c>
      <c r="B12" t="s">
        <v>141</v>
      </c>
      <c r="C12" s="1">
        <v>45068</v>
      </c>
      <c r="D12" s="1">
        <v>45070</v>
      </c>
      <c r="E12" t="s">
        <v>149</v>
      </c>
      <c r="F12">
        <v>22818</v>
      </c>
      <c r="G12" t="s">
        <v>146</v>
      </c>
      <c r="H12">
        <v>2</v>
      </c>
    </row>
    <row r="13" spans="1:33" x14ac:dyDescent="0.3">
      <c r="A13" t="s">
        <v>155</v>
      </c>
      <c r="B13" t="s">
        <v>143</v>
      </c>
      <c r="C13" s="1">
        <v>45207</v>
      </c>
      <c r="D13" s="1">
        <v>45217</v>
      </c>
      <c r="E13" t="s">
        <v>144</v>
      </c>
      <c r="F13">
        <v>45236</v>
      </c>
      <c r="G13" t="s">
        <v>146</v>
      </c>
      <c r="H13">
        <v>10</v>
      </c>
    </row>
    <row r="14" spans="1:33" ht="18" x14ac:dyDescent="0.35">
      <c r="A14" t="s">
        <v>156</v>
      </c>
      <c r="B14" t="s">
        <v>148</v>
      </c>
      <c r="C14" s="1">
        <v>45130</v>
      </c>
      <c r="D14" s="1">
        <v>45137</v>
      </c>
      <c r="E14" t="s">
        <v>149</v>
      </c>
      <c r="F14">
        <v>47188</v>
      </c>
      <c r="G14" t="s">
        <v>137</v>
      </c>
      <c r="H14">
        <v>7</v>
      </c>
      <c r="K14" s="13" t="s">
        <v>249</v>
      </c>
      <c r="L14" s="13"/>
      <c r="M14" s="14"/>
    </row>
    <row r="15" spans="1:33" x14ac:dyDescent="0.3">
      <c r="A15" t="s">
        <v>157</v>
      </c>
      <c r="B15" t="s">
        <v>143</v>
      </c>
      <c r="C15" s="1">
        <v>45182</v>
      </c>
      <c r="D15" s="1">
        <v>45188</v>
      </c>
      <c r="E15" t="s">
        <v>149</v>
      </c>
      <c r="F15">
        <v>40135</v>
      </c>
      <c r="G15" t="s">
        <v>146</v>
      </c>
      <c r="H15">
        <v>6</v>
      </c>
      <c r="K15" s="3" t="s">
        <v>266</v>
      </c>
      <c r="L15" t="s">
        <v>250</v>
      </c>
    </row>
    <row r="16" spans="1:33" x14ac:dyDescent="0.3">
      <c r="A16" t="s">
        <v>158</v>
      </c>
      <c r="B16" t="s">
        <v>159</v>
      </c>
      <c r="C16" s="1">
        <v>45218</v>
      </c>
      <c r="D16" s="1">
        <v>45221</v>
      </c>
      <c r="E16" t="s">
        <v>139</v>
      </c>
      <c r="F16">
        <v>36682</v>
      </c>
      <c r="G16" t="s">
        <v>146</v>
      </c>
      <c r="H16">
        <v>3</v>
      </c>
      <c r="K16" s="4" t="s">
        <v>139</v>
      </c>
      <c r="L16" s="24">
        <v>53</v>
      </c>
    </row>
    <row r="17" spans="1:21" x14ac:dyDescent="0.3">
      <c r="A17" t="s">
        <v>160</v>
      </c>
      <c r="B17" t="s">
        <v>143</v>
      </c>
      <c r="C17" s="1">
        <v>45006</v>
      </c>
      <c r="D17" s="1">
        <v>45013</v>
      </c>
      <c r="E17" t="s">
        <v>136</v>
      </c>
      <c r="F17">
        <v>14341</v>
      </c>
      <c r="G17" t="s">
        <v>146</v>
      </c>
      <c r="H17">
        <v>7</v>
      </c>
      <c r="K17" s="4" t="s">
        <v>149</v>
      </c>
      <c r="L17" s="24">
        <v>38</v>
      </c>
    </row>
    <row r="18" spans="1:21" x14ac:dyDescent="0.3">
      <c r="A18" t="s">
        <v>161</v>
      </c>
      <c r="B18" t="s">
        <v>159</v>
      </c>
      <c r="C18" s="1">
        <v>45135</v>
      </c>
      <c r="D18" s="1">
        <v>45141</v>
      </c>
      <c r="E18" t="s">
        <v>149</v>
      </c>
      <c r="F18">
        <v>20862</v>
      </c>
      <c r="G18" t="s">
        <v>146</v>
      </c>
      <c r="H18">
        <v>6</v>
      </c>
      <c r="K18" s="4" t="s">
        <v>144</v>
      </c>
      <c r="L18" s="24">
        <v>21</v>
      </c>
    </row>
    <row r="19" spans="1:21" x14ac:dyDescent="0.3">
      <c r="A19" t="s">
        <v>162</v>
      </c>
      <c r="B19" t="s">
        <v>143</v>
      </c>
      <c r="C19" s="1">
        <v>44958</v>
      </c>
      <c r="D19" s="1">
        <v>44959</v>
      </c>
      <c r="E19" t="s">
        <v>139</v>
      </c>
      <c r="F19">
        <v>46396</v>
      </c>
      <c r="G19" t="s">
        <v>137</v>
      </c>
      <c r="H19">
        <v>1</v>
      </c>
      <c r="K19" s="4" t="s">
        <v>136</v>
      </c>
      <c r="L19" s="24">
        <v>64</v>
      </c>
    </row>
    <row r="20" spans="1:21" x14ac:dyDescent="0.3">
      <c r="A20" t="s">
        <v>163</v>
      </c>
      <c r="B20" t="s">
        <v>141</v>
      </c>
      <c r="C20" s="1">
        <v>45196</v>
      </c>
      <c r="D20" s="1">
        <v>45197</v>
      </c>
      <c r="E20" t="s">
        <v>139</v>
      </c>
      <c r="F20">
        <v>13146</v>
      </c>
      <c r="G20" t="s">
        <v>146</v>
      </c>
      <c r="H20">
        <v>1</v>
      </c>
      <c r="K20" s="4" t="s">
        <v>177</v>
      </c>
      <c r="L20" s="24">
        <v>176</v>
      </c>
      <c r="T20" s="3" t="s">
        <v>266</v>
      </c>
      <c r="U20" t="s">
        <v>250</v>
      </c>
    </row>
    <row r="21" spans="1:21" x14ac:dyDescent="0.3">
      <c r="A21" t="s">
        <v>164</v>
      </c>
      <c r="B21" t="s">
        <v>159</v>
      </c>
      <c r="C21" s="1">
        <v>45253</v>
      </c>
      <c r="D21" s="1">
        <v>45261</v>
      </c>
      <c r="E21" t="s">
        <v>136</v>
      </c>
      <c r="F21">
        <v>30201</v>
      </c>
      <c r="G21" t="s">
        <v>137</v>
      </c>
      <c r="H21">
        <v>8</v>
      </c>
      <c r="T21" s="4" t="s">
        <v>139</v>
      </c>
      <c r="U21" s="24">
        <v>53</v>
      </c>
    </row>
    <row r="22" spans="1:21" x14ac:dyDescent="0.3">
      <c r="A22" t="s">
        <v>165</v>
      </c>
      <c r="B22" t="s">
        <v>159</v>
      </c>
      <c r="C22" s="1">
        <v>45090</v>
      </c>
      <c r="D22" s="1">
        <v>45096</v>
      </c>
      <c r="E22" t="s">
        <v>139</v>
      </c>
      <c r="F22">
        <v>14442</v>
      </c>
      <c r="G22" t="s">
        <v>146</v>
      </c>
      <c r="H22">
        <v>6</v>
      </c>
      <c r="T22" s="4" t="s">
        <v>149</v>
      </c>
      <c r="U22" s="24">
        <v>38</v>
      </c>
    </row>
    <row r="23" spans="1:21" ht="18" x14ac:dyDescent="0.35">
      <c r="A23" t="s">
        <v>166</v>
      </c>
      <c r="B23" t="s">
        <v>135</v>
      </c>
      <c r="C23" s="1">
        <v>45039</v>
      </c>
      <c r="D23" s="1">
        <v>45049</v>
      </c>
      <c r="E23" t="s">
        <v>136</v>
      </c>
      <c r="F23">
        <v>43861</v>
      </c>
      <c r="G23" t="s">
        <v>137</v>
      </c>
      <c r="H23">
        <v>10</v>
      </c>
      <c r="K23" s="13" t="s">
        <v>251</v>
      </c>
      <c r="L23" s="13"/>
      <c r="M23" s="9"/>
      <c r="N23" s="14"/>
      <c r="T23" s="4" t="s">
        <v>144</v>
      </c>
      <c r="U23" s="24">
        <v>21</v>
      </c>
    </row>
    <row r="24" spans="1:21" x14ac:dyDescent="0.3">
      <c r="A24" t="s">
        <v>167</v>
      </c>
      <c r="B24" t="s">
        <v>143</v>
      </c>
      <c r="C24" s="1">
        <v>45141</v>
      </c>
      <c r="D24" s="1">
        <v>45148</v>
      </c>
      <c r="E24" t="s">
        <v>139</v>
      </c>
      <c r="F24">
        <v>8349</v>
      </c>
      <c r="G24" t="s">
        <v>146</v>
      </c>
      <c r="H24">
        <v>7</v>
      </c>
      <c r="K24" s="3" t="s">
        <v>128</v>
      </c>
      <c r="L24" t="s">
        <v>252</v>
      </c>
      <c r="M24" t="s">
        <v>247</v>
      </c>
      <c r="O24" s="3" t="s">
        <v>132</v>
      </c>
      <c r="P24" t="s">
        <v>146</v>
      </c>
      <c r="T24" s="4" t="s">
        <v>136</v>
      </c>
      <c r="U24" s="24">
        <v>64</v>
      </c>
    </row>
    <row r="25" spans="1:21" ht="18" x14ac:dyDescent="0.35">
      <c r="A25" t="s">
        <v>168</v>
      </c>
      <c r="B25" t="s">
        <v>141</v>
      </c>
      <c r="C25" s="1">
        <v>45071</v>
      </c>
      <c r="D25" s="1">
        <v>45072</v>
      </c>
      <c r="E25" t="s">
        <v>144</v>
      </c>
      <c r="F25">
        <v>5730</v>
      </c>
      <c r="G25" t="s">
        <v>137</v>
      </c>
      <c r="H25">
        <v>1</v>
      </c>
      <c r="K25" s="4" t="s">
        <v>180</v>
      </c>
      <c r="L25">
        <v>91056</v>
      </c>
      <c r="M25">
        <v>3</v>
      </c>
      <c r="O25" s="13" t="s">
        <v>253</v>
      </c>
      <c r="P25" s="13"/>
      <c r="T25" s="4" t="s">
        <v>177</v>
      </c>
      <c r="U25" s="24">
        <v>176</v>
      </c>
    </row>
    <row r="26" spans="1:21" x14ac:dyDescent="0.3">
      <c r="A26" t="s">
        <v>169</v>
      </c>
      <c r="B26" t="s">
        <v>143</v>
      </c>
      <c r="C26" s="1">
        <v>45050</v>
      </c>
      <c r="D26" s="1">
        <v>45057</v>
      </c>
      <c r="E26" t="s">
        <v>136</v>
      </c>
      <c r="F26">
        <v>48063</v>
      </c>
      <c r="G26" t="s">
        <v>146</v>
      </c>
      <c r="H26">
        <v>7</v>
      </c>
      <c r="K26" s="4" t="s">
        <v>181</v>
      </c>
      <c r="L26">
        <v>14341</v>
      </c>
      <c r="M26">
        <v>1</v>
      </c>
      <c r="O26" s="3" t="s">
        <v>254</v>
      </c>
      <c r="P26" t="s">
        <v>247</v>
      </c>
    </row>
    <row r="27" spans="1:21" x14ac:dyDescent="0.3">
      <c r="A27" t="s">
        <v>170</v>
      </c>
      <c r="B27" t="s">
        <v>135</v>
      </c>
      <c r="C27" s="1">
        <v>45211</v>
      </c>
      <c r="D27" s="1">
        <v>45213</v>
      </c>
      <c r="E27" t="s">
        <v>136</v>
      </c>
      <c r="F27">
        <v>12868</v>
      </c>
      <c r="G27" t="s">
        <v>137</v>
      </c>
      <c r="H27">
        <v>2</v>
      </c>
      <c r="K27" s="4" t="s">
        <v>182</v>
      </c>
      <c r="L27">
        <v>43861</v>
      </c>
      <c r="M27">
        <v>1</v>
      </c>
      <c r="O27" s="4" t="s">
        <v>159</v>
      </c>
      <c r="P27">
        <v>3</v>
      </c>
    </row>
    <row r="28" spans="1:21" x14ac:dyDescent="0.3">
      <c r="A28" t="s">
        <v>171</v>
      </c>
      <c r="B28" t="s">
        <v>148</v>
      </c>
      <c r="C28" s="1">
        <v>45081</v>
      </c>
      <c r="D28" s="1">
        <v>45090</v>
      </c>
      <c r="E28" t="s">
        <v>139</v>
      </c>
      <c r="F28">
        <v>31361</v>
      </c>
      <c r="G28" t="s">
        <v>137</v>
      </c>
      <c r="H28">
        <v>9</v>
      </c>
      <c r="K28" s="4" t="s">
        <v>183</v>
      </c>
      <c r="L28">
        <v>115886</v>
      </c>
      <c r="M28">
        <v>5</v>
      </c>
      <c r="O28" s="4" t="s">
        <v>143</v>
      </c>
      <c r="P28">
        <v>6</v>
      </c>
    </row>
    <row r="29" spans="1:21" x14ac:dyDescent="0.3">
      <c r="A29" t="s">
        <v>172</v>
      </c>
      <c r="B29" t="s">
        <v>141</v>
      </c>
      <c r="C29" s="1">
        <v>44982</v>
      </c>
      <c r="D29" s="1">
        <v>44988</v>
      </c>
      <c r="E29" t="s">
        <v>136</v>
      </c>
      <c r="F29">
        <v>5861</v>
      </c>
      <c r="G29" t="s">
        <v>146</v>
      </c>
      <c r="H29">
        <v>6</v>
      </c>
      <c r="K29" s="4" t="s">
        <v>184</v>
      </c>
      <c r="L29">
        <v>45803</v>
      </c>
      <c r="M29">
        <v>2</v>
      </c>
      <c r="O29" s="4" t="s">
        <v>148</v>
      </c>
      <c r="P29">
        <v>1</v>
      </c>
    </row>
    <row r="30" spans="1:21" x14ac:dyDescent="0.3">
      <c r="A30" t="s">
        <v>173</v>
      </c>
      <c r="B30" t="s">
        <v>159</v>
      </c>
      <c r="C30" s="1">
        <v>45236</v>
      </c>
      <c r="D30" s="1">
        <v>45245</v>
      </c>
      <c r="E30" t="s">
        <v>149</v>
      </c>
      <c r="F30">
        <v>30084</v>
      </c>
      <c r="G30" t="s">
        <v>137</v>
      </c>
      <c r="H30">
        <v>9</v>
      </c>
      <c r="K30" s="4" t="s">
        <v>185</v>
      </c>
      <c r="L30">
        <v>140518</v>
      </c>
      <c r="M30">
        <v>4</v>
      </c>
      <c r="O30" s="4" t="s">
        <v>141</v>
      </c>
      <c r="P30">
        <v>3</v>
      </c>
    </row>
    <row r="31" spans="1:21" x14ac:dyDescent="0.3">
      <c r="A31" t="s">
        <v>174</v>
      </c>
      <c r="B31" t="s">
        <v>143</v>
      </c>
      <c r="C31" s="1">
        <v>45250</v>
      </c>
      <c r="D31" s="1">
        <v>45253</v>
      </c>
      <c r="E31" t="s">
        <v>149</v>
      </c>
      <c r="F31">
        <v>13255</v>
      </c>
      <c r="G31" t="s">
        <v>137</v>
      </c>
      <c r="H31">
        <v>3</v>
      </c>
      <c r="K31" s="4" t="s">
        <v>186</v>
      </c>
      <c r="L31">
        <v>15431</v>
      </c>
      <c r="M31">
        <v>2</v>
      </c>
      <c r="O31" s="4" t="s">
        <v>177</v>
      </c>
      <c r="P31">
        <v>13</v>
      </c>
    </row>
    <row r="32" spans="1:21" x14ac:dyDescent="0.3">
      <c r="K32" s="4" t="s">
        <v>187</v>
      </c>
      <c r="L32">
        <v>87783</v>
      </c>
      <c r="M32">
        <v>3</v>
      </c>
    </row>
    <row r="33" spans="11:13" x14ac:dyDescent="0.3">
      <c r="K33" s="4" t="s">
        <v>188</v>
      </c>
      <c r="L33">
        <v>150393</v>
      </c>
      <c r="M33">
        <v>5</v>
      </c>
    </row>
    <row r="34" spans="11:13" x14ac:dyDescent="0.3">
      <c r="K34" s="4" t="s">
        <v>189</v>
      </c>
      <c r="L34">
        <v>80469</v>
      </c>
      <c r="M34">
        <v>4</v>
      </c>
    </row>
    <row r="35" spans="11:13" x14ac:dyDescent="0.3">
      <c r="K35" s="4" t="s">
        <v>177</v>
      </c>
      <c r="L35">
        <v>785541</v>
      </c>
      <c r="M35">
        <v>30</v>
      </c>
    </row>
  </sheetData>
  <mergeCells count="1">
    <mergeCell ref="S1:AG1"/>
  </mergeCells>
  <pageMargins left="0.75" right="0.75" top="1" bottom="1" header="0.5" footer="0.5"/>
  <drawing r:id="rId6"/>
  <tableParts count="1">
    <tablePart r:id="rId7"/>
  </tableParts>
  <extLst>
    <ext xmlns:x14="http://schemas.microsoft.com/office/spreadsheetml/2009/9/main" uri="{A8765BA9-456A-4dab-B4F3-ACF838C121DE}">
      <x14:slicerList>
        <x14:slicer r:id="rId8"/>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 Analysis</vt:lpstr>
      <vt:lpstr>HR Attrition</vt:lpstr>
      <vt:lpstr>Inventory</vt:lpstr>
      <vt:lpstr>Expense Tracking</vt:lpstr>
      <vt:lpstr>Customer 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Ekta Joshi</cp:lastModifiedBy>
  <dcterms:created xsi:type="dcterms:W3CDTF">2025-08-04T18:34:22Z</dcterms:created>
  <dcterms:modified xsi:type="dcterms:W3CDTF">2026-01-14T00:08:23Z</dcterms:modified>
</cp:coreProperties>
</file>